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LUXDEV HQ\lUX DEV ASSMNT\WEEK1 EXCEL\"/>
    </mc:Choice>
  </mc:AlternateContent>
  <xr:revisionPtr revIDLastSave="0" documentId="13_ncr:1_{5608FF72-7010-417D-92E0-564D0958A4BE}" xr6:coauthVersionLast="47" xr6:coauthVersionMax="47" xr10:uidLastSave="{00000000-0000-0000-0000-000000000000}"/>
  <bookViews>
    <workbookView xWindow="-110" yWindow="-110" windowWidth="19420" windowHeight="10300" activeTab="3" xr2:uid="{F0B37DD2-0575-4532-8F2C-F9EFFB0F14A3}"/>
  </bookViews>
  <sheets>
    <sheet name="ORIGINAL" sheetId="2" r:id="rId1"/>
    <sheet name="Cleaned Data" sheetId="1" r:id="rId2"/>
    <sheet name="DASHBOARD" sheetId="12" r:id="rId3"/>
    <sheet name="README" sheetId="14" r:id="rId4"/>
  </sheets>
  <externalReferences>
    <externalReference r:id="rId5"/>
  </externalReferences>
  <definedNames>
    <definedName name="_xlnm._FilterDatabase" localSheetId="1" hidden="1">'Cleaned Data'!$A$1:$I$1</definedName>
    <definedName name="ExternalData_1" localSheetId="0" hidden="1">ORIGINAL!$A$1:$F$116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2" l="1"/>
  <c r="C117" i="1"/>
  <c r="F6" i="1"/>
  <c r="K6" i="1" s="1"/>
  <c r="K2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J4" i="1"/>
  <c r="J2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B13" i="12"/>
  <c r="C13" i="12" s="1" a="1"/>
  <c r="B12" i="12"/>
  <c r="C12" i="12" s="1" a="1"/>
  <c r="B117" i="1"/>
  <c r="I117" i="1"/>
  <c r="G117" i="1"/>
  <c r="A117" i="1"/>
  <c r="F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2" i="1"/>
  <c r="F3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2" i="1"/>
  <c r="C36" i="12" l="1"/>
  <c r="D42" i="12"/>
  <c r="B40" i="12"/>
  <c r="B35" i="12"/>
  <c r="B42" i="12"/>
  <c r="B37" i="12"/>
  <c r="B34" i="12"/>
  <c r="D41" i="12"/>
  <c r="D40" i="12"/>
  <c r="D39" i="12"/>
  <c r="D38" i="12"/>
  <c r="D37" i="12"/>
  <c r="D36" i="12"/>
  <c r="D35" i="12"/>
  <c r="D34" i="12"/>
  <c r="D33" i="12"/>
  <c r="C42" i="12"/>
  <c r="C41" i="12"/>
  <c r="C40" i="12"/>
  <c r="C39" i="12"/>
  <c r="C38" i="12"/>
  <c r="C37" i="12"/>
  <c r="C35" i="12"/>
  <c r="C34" i="12"/>
  <c r="C33" i="12"/>
  <c r="B38" i="12"/>
  <c r="B39" i="12"/>
  <c r="B41" i="12"/>
  <c r="B36" i="12"/>
  <c r="B33" i="12"/>
  <c r="B25" i="12"/>
  <c r="C25" i="12" s="1"/>
  <c r="B20" i="12"/>
  <c r="C20" i="12" s="1"/>
  <c r="B18" i="12"/>
  <c r="B26" i="12"/>
  <c r="C26" i="12" s="1"/>
  <c r="B24" i="12"/>
  <c r="C24" i="12" s="1"/>
  <c r="B23" i="12"/>
  <c r="C23" i="12" s="1"/>
  <c r="B21" i="12"/>
  <c r="C21" i="12" s="1"/>
  <c r="B22" i="12"/>
  <c r="C22" i="12" s="1"/>
  <c r="B19" i="12"/>
  <c r="C19" i="12" s="1"/>
  <c r="B27" i="12"/>
  <c r="C27" i="12" s="1"/>
  <c r="F117" i="1"/>
  <c r="C11" i="12"/>
  <c r="D20" i="12" l="1"/>
  <c r="F18" i="12"/>
  <c r="E18" i="12"/>
  <c r="D18" i="12"/>
  <c r="C18" i="12"/>
  <c r="E24" i="12"/>
  <c r="F23" i="12"/>
  <c r="E23" i="12"/>
  <c r="D23" i="12"/>
  <c r="F22" i="12"/>
  <c r="D22" i="12"/>
  <c r="D26" i="12"/>
  <c r="F25" i="12"/>
  <c r="E25" i="12"/>
  <c r="D25" i="12"/>
  <c r="F27" i="12"/>
  <c r="F24" i="12"/>
  <c r="F26" i="12"/>
  <c r="E27" i="12"/>
  <c r="F19" i="12"/>
  <c r="E19" i="12"/>
  <c r="D19" i="12"/>
  <c r="D27" i="12"/>
  <c r="D24" i="12"/>
  <c r="E22" i="12"/>
  <c r="F20" i="12"/>
  <c r="F21" i="12"/>
  <c r="E21" i="12"/>
  <c r="D21" i="12"/>
  <c r="E20" i="12"/>
  <c r="E2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9F8271-EA1C-4020-953B-E1B3C3D1B2C8}" keepAlive="1" name="Query - Excel_jumia_dataset (1)" description="Connection to the 'Excel_jumia_dataset (1)' query in the workbook." type="5" refreshedVersion="8" background="1" saveData="1">
    <dbPr connection="Provider=Microsoft.Mashup.OleDb.1;Data Source=$Workbook$;Location=&quot;Excel_jumia_dataset (1)&quot;;Extended Properties=&quot;&quot;" command="SELECT * FROM [Excel_jumia_dataset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<sst xmlns="http://schemas.openxmlformats.org/spreadsheetml/2006/main" count="689" uniqueCount="367">
  <si>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</si>
  <si>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</si>
  <si>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</si>
  <si>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</si>
  <si>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</si>
  <si>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</si>
  <si>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</si>
  <si>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</si>
  <si>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</si>
  <si>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</si>
  <si>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</si>
  <si>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</si>
  <si>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</si>
  <si>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</si>
  <si>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</si>
  <si>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</si>
  <si>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</si>
  <si>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</si>
  <si>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</si>
  <si>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</si>
  <si>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</si>
  <si>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</si>
  <si>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</si>
  <si>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</si>
  <si>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</si>
  <si>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</si>
  <si>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</si>
  <si>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</si>
  <si>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</si>
  <si>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</si>
  <si>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</si>
  <si>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</si>
  <si>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</si>
  <si>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</si>
  <si>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</si>
  <si>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</si>
  <si>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</si>
  <si>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</si>
  <si>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</si>
  <si>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</si>
  <si>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</si>
  <si>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</si>
  <si>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</si>
  <si>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</si>
  <si>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</si>
  <si>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</si>
  <si>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</si>
  <si>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</si>
  <si>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</si>
  <si>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</si>
  <si>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</si>
  <si>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</si>
  <si>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</si>
  <si>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</si>
  <si>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</si>
  <si>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</si>
  <si>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</si>
  <si>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</si>
  <si>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</si>
  <si>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</si>
  <si>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</si>
  <si>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</si>
  <si>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</si>
  <si>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</si>
  <si>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</si>
  <si>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</si>
  <si>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</si>
  <si>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</si>
  <si>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</si>
  <si>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</si>
  <si>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</si>
  <si>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</si>
  <si>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</si>
  <si>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</si>
  <si>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</si>
  <si>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</si>
  <si>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</si>
  <si>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</si>
  <si>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/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</si>
  <si>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</si>
  <si>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</si>
  <si>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</si>
  <si>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</si>
  <si>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</si>
  <si>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</si>
  <si>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</si>
  <si>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</si>
  <si>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</si>
  <si>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</si>
  <si>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</si>
  <si>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</si>
  <si>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</si>
  <si>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</si>
  <si>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</si>
  <si>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</si>
  <si>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</si>
  <si>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</si>
  <si>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</si>
  <si>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</si>
  <si>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</si>
  <si>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</si>
  <si>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</si>
  <si>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</si>
  <si>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</si>
  <si>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</si>
  <si>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</si>
  <si>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</si>
  <si>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</si>
  <si>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</si>
  <si>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</si>
  <si>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</si>
  <si>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</si>
  <si>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</si>
  <si>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</si>
  <si>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</si>
  <si>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</si>
  <si>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</si>
  <si>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</si>
  <si>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</si>
  <si>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</si>
  <si>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</si>
  <si>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</si>
  <si>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</si>
  <si>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</si>
  <si>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</si>
  <si>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</si>
  <si>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</si>
  <si>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</si>
  <si>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</si>
  <si>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</si>
  <si>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</si>
  <si>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</si>
  <si>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</si>
  <si>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</si>
  <si>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</si>
  <si>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</si>
  <si>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</si>
  <si>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</si>
  <si>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</si>
  <si>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</si>
  <si>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</si>
  <si>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</si>
  <si>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</si>
  <si>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</si>
  <si>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</si>
  <si>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</si>
  <si>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</si>
  <si>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</si>
  <si>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</si>
  <si>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</si>
  <si>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</si>
  <si>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</si>
  <si>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</si>
  <si>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</si>
  <si>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</si>
  <si>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</si>
  <si>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</si>
  <si>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</si>
  <si>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</si>
  <si>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</si>
  <si>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</si>
  <si>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</si>
  <si>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</si>
  <si>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</si>
  <si>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</si>
  <si>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</si>
  <si>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</si>
  <si>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</si>
  <si>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</si>
  <si>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</si>
  <si>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</si>
  <si>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</si>
  <si>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</si>
  <si>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</si>
  <si>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</si>
  <si>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</si>
  <si>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</si>
  <si>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</si>
  <si>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</si>
  <si>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</si>
  <si>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</si>
  <si>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</si>
  <si>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</si>
  <si>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</si>
  <si>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</si>
  <si>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</si>
  <si>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</si>
  <si>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</si>
  <si>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</si>
  <si>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</si>
  <si>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</si>
  <si>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</si>
  <si>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</si>
  <si>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</si>
  <si>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</si>
  <si>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</si>
  <si>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</si>
  <si>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</si>
  <si>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</si>
  <si>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</si>
  <si>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</si>
  <si>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</si>
  <si>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</si>
  <si>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</si>
  <si>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</si>
  <si>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</si>
  <si>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</si>
  <si>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</si>
  <si>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</si>
  <si>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</si>
  <si>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</si>
  <si>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</si>
  <si>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</si>
  <si>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</si>
  <si>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</si>
  <si>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</si>
  <si>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</si>
  <si>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</si>
  <si>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</si>
  <si>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</si>
  <si>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</si>
  <si>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</si>
  <si>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</si>
  <si>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</si>
  <si>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</si>
  <si>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</si>
  <si>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</si>
  <si>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</si>
  <si>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</si>
  <si>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</si>
  <si>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</si>
  <si>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</si>
  <si>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</si>
  <si>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</si>
  <si>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</si>
  <si>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</si>
  <si>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</si>
  <si>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</si>
  <si>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</si>
  <si>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</si>
  <si>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</si>
  <si>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</si>
  <si>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</si>
  <si>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</si>
  <si>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</si>
  <si>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</si>
  <si>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</si>
  <si>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</si>
  <si>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</si>
  <si>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</si>
  <si>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</si>
  <si>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</si>
  <si>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Gloves.32℉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</si>
  <si>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</si>
  <si>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</si>
  <si>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</si>
  <si>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</si>
  <si>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</si>
  <si>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</si>
  <si>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</si>
  <si>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</si>
  <si>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</si>
  <si>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</si>
  <si>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</si>
  <si>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</si>
  <si>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</si>
  <si>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</si>
  <si>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</si>
  <si>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</si>
  <si>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</si>
  <si>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</si>
  <si>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</si>
  <si>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</si>
  <si>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</si>
  <si>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</si>
  <si>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</si>
  <si>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</si>
  <si>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</si>
  <si>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</si>
  <si>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</si>
  <si>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</si>
  <si>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</si>
  <si>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</si>
  <si>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</si>
  <si>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</si>
  <si>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</si>
  <si>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</si>
  <si>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</si>
  <si>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</si>
  <si>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</si>
  <si>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</si>
  <si>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</si>
  <si>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</si>
  <si>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</si>
  <si>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</si>
  <si>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</si>
  <si>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</si>
  <si>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</si>
  <si>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</si>
  <si>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</si>
  <si>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</si>
  <si>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</si>
  <si>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</si>
  <si>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</si>
  <si>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</si>
  <si>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</si>
  <si>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</si>
  <si>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</si>
  <si>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</si>
  <si>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</si>
  <si>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</si>
  <si>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</si>
  <si>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</si>
  <si>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</si>
  <si>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</si>
  <si>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</si>
  <si>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</si>
  <si>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</si>
  <si>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</si>
  <si>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</si>
  <si>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</si>
  <si>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</si>
  <si>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</si>
  <si>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</si>
  <si>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>Discount %</t>
  </si>
  <si>
    <t>Savings</t>
  </si>
  <si>
    <t>Has Reviews</t>
  </si>
  <si>
    <t>RELATIONSHIPS</t>
  </si>
  <si>
    <t>READING</t>
  </si>
  <si>
    <t>Discount % vs. Number of Reviews</t>
  </si>
  <si>
    <t>Rating vs. Number of Reviews</t>
  </si>
  <si>
    <t>Price vs Rating</t>
  </si>
  <si>
    <t xml:space="preserve">MINIMUM rating to qualify: </t>
  </si>
  <si>
    <t>TOP PERFORMING PRODUCTS:</t>
  </si>
  <si>
    <t>Show top :</t>
  </si>
  <si>
    <t xml:space="preserve">PRODUCT </t>
  </si>
  <si>
    <t>RATING</t>
  </si>
  <si>
    <t>REVIEWS</t>
  </si>
  <si>
    <t>PRICE</t>
  </si>
  <si>
    <t>DISCOUNT</t>
  </si>
  <si>
    <t>PRODUCTS THAT MAY NEED A DIFFERENT PRICING MARKETING STRATEGY</t>
  </si>
  <si>
    <t>DISCOUNT% &gt;=</t>
  </si>
  <si>
    <t>REVIEWS&lt;=</t>
  </si>
  <si>
    <t>PRODUCT</t>
  </si>
  <si>
    <t>Show up to:</t>
  </si>
  <si>
    <t>NUMBER</t>
  </si>
  <si>
    <t>DISCOUNT%</t>
  </si>
  <si>
    <t>RANK TOP PERFORMER</t>
  </si>
  <si>
    <t>RANK NEEDS ATTENTION</t>
  </si>
  <si>
    <t>Ratings</t>
  </si>
  <si>
    <t>READ ME  &amp;  KEY INSIGHTS</t>
  </si>
  <si>
    <t>1) How this workbook is organised</t>
  </si>
  <si>
    <t>3) Do bigger discounts bring in more reviews?</t>
  </si>
  <si>
    <t>4) Do highly-rated products get stronger engagement (more reviews)?</t>
  </si>
  <si>
    <t>5) Do price and rating move together?</t>
  </si>
  <si>
    <t>6) Which products perform best?</t>
  </si>
  <si>
    <t>7) Which products may need a different pricing or marketing strategy?</t>
  </si>
  <si>
    <t>• Dashboard  -  KPIs, correlation readouts, two interactive drill-down tables (yellow cells = adjustable filters), and charts.</t>
  </si>
  <si>
    <t>• This sheet  -  plain-English answers to the five questions the dashboard was built to answer.</t>
  </si>
  <si>
    <t>See the 'Top Performing Products' table on the Dashboard. It ranks products by review volume among those meeting a minimum star rating (both adjustable)  -  i.e. products that are both well-liked AND well-engaged-with, not just one or the other.</t>
  </si>
  <si>
    <t>See the 'Products That May Need a Different Pricing / Marketing Strategy' table on the Dashboard. It flags listings carrying a steep discount (adjustable threshold) that still aren't generating reviews  -  a sign the discount alone isn't creating traction, and the listing may need better photos/copy, category placement, or a rethink of the discount depth itself.</t>
  </si>
  <si>
    <t>CORRELATION (r)</t>
  </si>
  <si>
    <t>Correlation r = -0.14  -  Weak/Moderate negative. In plain terms: products with steeper discounts actually tend to collect FEWER reviews  -  discounting is not translating into engagement.</t>
  </si>
  <si>
    <t>Correlation r = 0.06  -  No meaningful relationship. In plain terms: a higher star rating on its own does not reliably pull in more reviews here  -  rating quality and review volume are largely independent.</t>
  </si>
  <si>
    <t>Correlation r = 0.11  -  Weak/Moderate positive. In plain terms: higher-priced items do tend to be rated slightly better.</t>
  </si>
  <si>
    <t>• ORIGINAL  -  the source file, untouched.</t>
  </si>
  <si>
    <t>• Cleaned Data  -  formula-driven, analysis-ready version (prices as numbers, discount as %, reviews as positive counts, rating as a number). Every cell is a formula, so if the ORIGINAL tab is ever updated, this whole workbook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</si>
</sst>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Discount % vs. Reviews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Discount % vs. Reviews</c:v>
          </c:tx>
          <c:spPr>
            <a:ln w="2844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 cap="rnd" cmpd="sng" algn="ctr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'[1]Clean Data'!$D$2:$D$58</c:f>
              <c:numCache>
                <c:formatCode>0%</c:formatCode>
                <c:ptCount val="57"/>
                <c:pt idx="0">
                  <c:v>0.38</c:v>
                </c:pt>
                <c:pt idx="1">
                  <c:v>0.47</c:v>
                </c:pt>
                <c:pt idx="2">
                  <c:v>0.25</c:v>
                </c:pt>
                <c:pt idx="3">
                  <c:v>0.37</c:v>
                </c:pt>
                <c:pt idx="4">
                  <c:v>0.26</c:v>
                </c:pt>
                <c:pt idx="5">
                  <c:v>0.09</c:v>
                </c:pt>
                <c:pt idx="6">
                  <c:v>0.24</c:v>
                </c:pt>
                <c:pt idx="7">
                  <c:v>0.37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0.2</c:v>
                </c:pt>
                <c:pt idx="11">
                  <c:v>0.34</c:v>
                </c:pt>
                <c:pt idx="12">
                  <c:v>0.47</c:v>
                </c:pt>
                <c:pt idx="13">
                  <c:v>0.42</c:v>
                </c:pt>
                <c:pt idx="14">
                  <c:v>0.33</c:v>
                </c:pt>
                <c:pt idx="15">
                  <c:v>0.51</c:v>
                </c:pt>
                <c:pt idx="16">
                  <c:v>0.46</c:v>
                </c:pt>
                <c:pt idx="17">
                  <c:v>0.49</c:v>
                </c:pt>
                <c:pt idx="18">
                  <c:v>0.19</c:v>
                </c:pt>
                <c:pt idx="19">
                  <c:v>0.49</c:v>
                </c:pt>
                <c:pt idx="20">
                  <c:v>0.53</c:v>
                </c:pt>
                <c:pt idx="21">
                  <c:v>0.35</c:v>
                </c:pt>
                <c:pt idx="22">
                  <c:v>0.23</c:v>
                </c:pt>
                <c:pt idx="23">
                  <c:v>0.54</c:v>
                </c:pt>
                <c:pt idx="24">
                  <c:v>0.35</c:v>
                </c:pt>
                <c:pt idx="25">
                  <c:v>0.18</c:v>
                </c:pt>
                <c:pt idx="26">
                  <c:v>0.32</c:v>
                </c:pt>
                <c:pt idx="27">
                  <c:v>0.3</c:v>
                </c:pt>
                <c:pt idx="28">
                  <c:v>0.52</c:v>
                </c:pt>
                <c:pt idx="29">
                  <c:v>0.34</c:v>
                </c:pt>
                <c:pt idx="30">
                  <c:v>0.48</c:v>
                </c:pt>
                <c:pt idx="31">
                  <c:v>0.27</c:v>
                </c:pt>
                <c:pt idx="32">
                  <c:v>0.27</c:v>
                </c:pt>
                <c:pt idx="33">
                  <c:v>0.4</c:v>
                </c:pt>
                <c:pt idx="34">
                  <c:v>0.53</c:v>
                </c:pt>
                <c:pt idx="35">
                  <c:v>0.41</c:v>
                </c:pt>
                <c:pt idx="36">
                  <c:v>0.38</c:v>
                </c:pt>
                <c:pt idx="37">
                  <c:v>0.13</c:v>
                </c:pt>
                <c:pt idx="38">
                  <c:v>0.54</c:v>
                </c:pt>
                <c:pt idx="39">
                  <c:v>0.55000000000000004</c:v>
                </c:pt>
                <c:pt idx="40">
                  <c:v>0.49</c:v>
                </c:pt>
                <c:pt idx="41">
                  <c:v>0.52</c:v>
                </c:pt>
                <c:pt idx="42">
                  <c:v>0.22</c:v>
                </c:pt>
                <c:pt idx="43">
                  <c:v>0.45</c:v>
                </c:pt>
                <c:pt idx="44">
                  <c:v>0.5</c:v>
                </c:pt>
                <c:pt idx="45">
                  <c:v>0.39</c:v>
                </c:pt>
                <c:pt idx="46">
                  <c:v>0.45</c:v>
                </c:pt>
                <c:pt idx="47">
                  <c:v>0.28999999999999998</c:v>
                </c:pt>
                <c:pt idx="48">
                  <c:v>0.43</c:v>
                </c:pt>
                <c:pt idx="49">
                  <c:v>0.43</c:v>
                </c:pt>
                <c:pt idx="50">
                  <c:v>0.47</c:v>
                </c:pt>
                <c:pt idx="51">
                  <c:v>0.47</c:v>
                </c:pt>
                <c:pt idx="52">
                  <c:v>0.46</c:v>
                </c:pt>
                <c:pt idx="53">
                  <c:v>0.49</c:v>
                </c:pt>
                <c:pt idx="54">
                  <c:v>0.49</c:v>
                </c:pt>
                <c:pt idx="55">
                  <c:v>0.21</c:v>
                </c:pt>
                <c:pt idx="56">
                  <c:v>0.5</c:v>
                </c:pt>
              </c:numCache>
            </c:numRef>
          </c:xVal>
          <c:yVal>
            <c:numRef>
              <c:f>'[1]Clean Data'!$F$2:$F$58</c:f>
              <c:numCache>
                <c:formatCode>General</c:formatCode>
                <c:ptCount val="57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6</c:v>
                </c:pt>
                <c:pt idx="22">
                  <c:v>14</c:v>
                </c:pt>
                <c:pt idx="23">
                  <c:v>7</c:v>
                </c:pt>
                <c:pt idx="24">
                  <c:v>49</c:v>
                </c:pt>
                <c:pt idx="25">
                  <c:v>12</c:v>
                </c:pt>
                <c:pt idx="26">
                  <c:v>13</c:v>
                </c:pt>
                <c:pt idx="27">
                  <c:v>20</c:v>
                </c:pt>
                <c:pt idx="28">
                  <c:v>9</c:v>
                </c:pt>
                <c:pt idx="29">
                  <c:v>12</c:v>
                </c:pt>
                <c:pt idx="30">
                  <c:v>9</c:v>
                </c:pt>
                <c:pt idx="31">
                  <c:v>20</c:v>
                </c:pt>
                <c:pt idx="32">
                  <c:v>32</c:v>
                </c:pt>
                <c:pt idx="33">
                  <c:v>1</c:v>
                </c:pt>
                <c:pt idx="34">
                  <c:v>2</c:v>
                </c:pt>
                <c:pt idx="35">
                  <c:v>36</c:v>
                </c:pt>
                <c:pt idx="36">
                  <c:v>2</c:v>
                </c:pt>
                <c:pt idx="37">
                  <c:v>6</c:v>
                </c:pt>
                <c:pt idx="38">
                  <c:v>10</c:v>
                </c:pt>
                <c:pt idx="39">
                  <c:v>13</c:v>
                </c:pt>
                <c:pt idx="40">
                  <c:v>69</c:v>
                </c:pt>
                <c:pt idx="41">
                  <c:v>15</c:v>
                </c:pt>
                <c:pt idx="42">
                  <c:v>16</c:v>
                </c:pt>
                <c:pt idx="43">
                  <c:v>6</c:v>
                </c:pt>
                <c:pt idx="44">
                  <c:v>7</c:v>
                </c:pt>
                <c:pt idx="45">
                  <c:v>5</c:v>
                </c:pt>
                <c:pt idx="46">
                  <c:v>17</c:v>
                </c:pt>
                <c:pt idx="47">
                  <c:v>5</c:v>
                </c:pt>
                <c:pt idx="48">
                  <c:v>6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58-4988-8705-EE8DFAADE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80224903"/>
        <c:axId val="61456373"/>
      </c:scatterChart>
      <c:valAx>
        <c:axId val="80224903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Discount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61456373"/>
        <c:crosses val="autoZero"/>
        <c:crossBetween val="midCat"/>
      </c:valAx>
      <c:valAx>
        <c:axId val="6145637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802249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98cec48-1e65-4dbf-baeb-d219049cbba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Rating vs. Reviews</a:t>
            </a:r>
          </a:p>
        </c:rich>
      </c:tx>
      <c:layout>
        <c:manualLayout>
          <c:xMode val="edge"/>
          <c:yMode val="edge"/>
          <c:x val="0.42055121976884891"/>
          <c:y val="3.562001687883949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Rating vs. Reviews</c:v>
          </c:tx>
          <c:spPr>
            <a:ln w="2844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 cap="rnd" cmpd="sng" algn="ctr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'[1]Clean Data'!$H$2:$H$58</c:f>
              <c:numCache>
                <c:formatCode>0.0</c:formatCode>
                <c:ptCount val="57"/>
                <c:pt idx="0">
                  <c:v>4.5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4.7</c:v>
                </c:pt>
                <c:pt idx="4">
                  <c:v>4.8</c:v>
                </c:pt>
                <c:pt idx="5">
                  <c:v>4</c:v>
                </c:pt>
                <c:pt idx="6">
                  <c:v>4.5999999999999996</c:v>
                </c:pt>
                <c:pt idx="7">
                  <c:v>4</c:v>
                </c:pt>
                <c:pt idx="8">
                  <c:v>4.8</c:v>
                </c:pt>
                <c:pt idx="9">
                  <c:v>3.8</c:v>
                </c:pt>
                <c:pt idx="10">
                  <c:v>4.0999999999999996</c:v>
                </c:pt>
                <c:pt idx="11">
                  <c:v>4.7</c:v>
                </c:pt>
                <c:pt idx="12">
                  <c:v>4.8</c:v>
                </c:pt>
                <c:pt idx="13">
                  <c:v>4.5</c:v>
                </c:pt>
                <c:pt idx="14">
                  <c:v>4.2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3.3</c:v>
                </c:pt>
                <c:pt idx="21">
                  <c:v>4</c:v>
                </c:pt>
                <c:pt idx="22">
                  <c:v>4.4000000000000004</c:v>
                </c:pt>
                <c:pt idx="23">
                  <c:v>4.3</c:v>
                </c:pt>
                <c:pt idx="24">
                  <c:v>4.5999999999999996</c:v>
                </c:pt>
                <c:pt idx="25">
                  <c:v>3.8</c:v>
                </c:pt>
                <c:pt idx="26">
                  <c:v>3.8</c:v>
                </c:pt>
                <c:pt idx="27">
                  <c:v>4.0999999999999996</c:v>
                </c:pt>
                <c:pt idx="28">
                  <c:v>4.3</c:v>
                </c:pt>
                <c:pt idx="29">
                  <c:v>4.7</c:v>
                </c:pt>
                <c:pt idx="30">
                  <c:v>4.3</c:v>
                </c:pt>
                <c:pt idx="31">
                  <c:v>4.7</c:v>
                </c:pt>
                <c:pt idx="32">
                  <c:v>4.5</c:v>
                </c:pt>
                <c:pt idx="33">
                  <c:v>5</c:v>
                </c:pt>
                <c:pt idx="34">
                  <c:v>5</c:v>
                </c:pt>
                <c:pt idx="35">
                  <c:v>4.3</c:v>
                </c:pt>
                <c:pt idx="36">
                  <c:v>4.5</c:v>
                </c:pt>
                <c:pt idx="37">
                  <c:v>2.5</c:v>
                </c:pt>
                <c:pt idx="38">
                  <c:v>3</c:v>
                </c:pt>
                <c:pt idx="39">
                  <c:v>2.1</c:v>
                </c:pt>
                <c:pt idx="40">
                  <c:v>2.8</c:v>
                </c:pt>
                <c:pt idx="41">
                  <c:v>2.7</c:v>
                </c:pt>
                <c:pt idx="42">
                  <c:v>2.9</c:v>
                </c:pt>
                <c:pt idx="43">
                  <c:v>2.2000000000000002</c:v>
                </c:pt>
                <c:pt idx="44">
                  <c:v>2.2999999999999998</c:v>
                </c:pt>
                <c:pt idx="45">
                  <c:v>3</c:v>
                </c:pt>
                <c:pt idx="46">
                  <c:v>2.6</c:v>
                </c:pt>
                <c:pt idx="47">
                  <c:v>3</c:v>
                </c:pt>
                <c:pt idx="48">
                  <c:v>2.2999999999999998</c:v>
                </c:pt>
                <c:pt idx="49">
                  <c:v>3</c:v>
                </c:pt>
                <c:pt idx="50">
                  <c:v>2.2000000000000002</c:v>
                </c:pt>
                <c:pt idx="51">
                  <c:v>2.1</c:v>
                </c:pt>
                <c:pt idx="52">
                  <c:v>3</c:v>
                </c:pt>
                <c:pt idx="53">
                  <c:v>5</c:v>
                </c:pt>
                <c:pt idx="54">
                  <c:v>4</c:v>
                </c:pt>
                <c:pt idx="55">
                  <c:v>5</c:v>
                </c:pt>
                <c:pt idx="56">
                  <c:v>2</c:v>
                </c:pt>
              </c:numCache>
            </c:numRef>
          </c:xVal>
          <c:yVal>
            <c:numRef>
              <c:f>'[1]Clean Data'!$F$2:$F$58</c:f>
              <c:numCache>
                <c:formatCode>General</c:formatCode>
                <c:ptCount val="57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6</c:v>
                </c:pt>
                <c:pt idx="22">
                  <c:v>14</c:v>
                </c:pt>
                <c:pt idx="23">
                  <c:v>7</c:v>
                </c:pt>
                <c:pt idx="24">
                  <c:v>49</c:v>
                </c:pt>
                <c:pt idx="25">
                  <c:v>12</c:v>
                </c:pt>
                <c:pt idx="26">
                  <c:v>13</c:v>
                </c:pt>
                <c:pt idx="27">
                  <c:v>20</c:v>
                </c:pt>
                <c:pt idx="28">
                  <c:v>9</c:v>
                </c:pt>
                <c:pt idx="29">
                  <c:v>12</c:v>
                </c:pt>
                <c:pt idx="30">
                  <c:v>9</c:v>
                </c:pt>
                <c:pt idx="31">
                  <c:v>20</c:v>
                </c:pt>
                <c:pt idx="32">
                  <c:v>32</c:v>
                </c:pt>
                <c:pt idx="33">
                  <c:v>1</c:v>
                </c:pt>
                <c:pt idx="34">
                  <c:v>2</c:v>
                </c:pt>
                <c:pt idx="35">
                  <c:v>36</c:v>
                </c:pt>
                <c:pt idx="36">
                  <c:v>2</c:v>
                </c:pt>
                <c:pt idx="37">
                  <c:v>6</c:v>
                </c:pt>
                <c:pt idx="38">
                  <c:v>10</c:v>
                </c:pt>
                <c:pt idx="39">
                  <c:v>13</c:v>
                </c:pt>
                <c:pt idx="40">
                  <c:v>69</c:v>
                </c:pt>
                <c:pt idx="41">
                  <c:v>15</c:v>
                </c:pt>
                <c:pt idx="42">
                  <c:v>16</c:v>
                </c:pt>
                <c:pt idx="43">
                  <c:v>6</c:v>
                </c:pt>
                <c:pt idx="44">
                  <c:v>7</c:v>
                </c:pt>
                <c:pt idx="45">
                  <c:v>5</c:v>
                </c:pt>
                <c:pt idx="46">
                  <c:v>17</c:v>
                </c:pt>
                <c:pt idx="47">
                  <c:v>5</c:v>
                </c:pt>
                <c:pt idx="48">
                  <c:v>6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CD-40FD-8F05-5EE23473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40180507"/>
        <c:axId val="44434524"/>
      </c:scatterChart>
      <c:valAx>
        <c:axId val="4018050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44434524"/>
        <c:crosses val="autoZero"/>
        <c:crossBetween val="midCat"/>
      </c:valAx>
      <c:valAx>
        <c:axId val="4443452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401805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5cd08ef-9952-46c1-bbe7-62e0f1ec07a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0</xdr:row>
      <xdr:rowOff>139700</xdr:rowOff>
    </xdr:from>
    <xdr:to>
      <xdr:col>11</xdr:col>
      <xdr:colOff>387350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8AD548-3466-7703-36B6-4644DE68DA07}"/>
            </a:ext>
          </a:extLst>
        </xdr:cNvPr>
        <xdr:cNvSpPr/>
      </xdr:nvSpPr>
      <xdr:spPr>
        <a:xfrm>
          <a:off x="838200" y="139700"/>
          <a:ext cx="10013950" cy="596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                   JUMIA PRODUCT PERFORMANCE</a:t>
          </a:r>
          <a:r>
            <a:rPr lang="en-US" sz="2800" baseline="0"/>
            <a:t> DASHBOARD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139700</xdr:colOff>
      <xdr:row>4</xdr:row>
      <xdr:rowOff>69850</xdr:rowOff>
    </xdr:from>
    <xdr:to>
      <xdr:col>3</xdr:col>
      <xdr:colOff>25400</xdr:colOff>
      <xdr:row>7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E9E77A-9738-8AA3-0646-7EC915639275}"/>
            </a:ext>
          </a:extLst>
        </xdr:cNvPr>
        <xdr:cNvSpPr/>
      </xdr:nvSpPr>
      <xdr:spPr>
        <a:xfrm>
          <a:off x="139700" y="806450"/>
          <a:ext cx="193040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TOTAL PRODUCTS LISTED</a:t>
          </a:r>
        </a:p>
        <a:p>
          <a:pPr algn="l"/>
          <a:r>
            <a:rPr lang="en-US" sz="1400"/>
            <a:t>=115</a:t>
          </a:r>
        </a:p>
      </xdr:txBody>
    </xdr:sp>
    <xdr:clientData/>
  </xdr:twoCellAnchor>
  <xdr:twoCellAnchor>
    <xdr:from>
      <xdr:col>5</xdr:col>
      <xdr:colOff>374650</xdr:colOff>
      <xdr:row>4</xdr:row>
      <xdr:rowOff>82550</xdr:rowOff>
    </xdr:from>
    <xdr:to>
      <xdr:col>8</xdr:col>
      <xdr:colOff>228600</xdr:colOff>
      <xdr:row>7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72B7A6-D3A8-F73D-D566-345739ABBBC2}"/>
            </a:ext>
          </a:extLst>
        </xdr:cNvPr>
        <xdr:cNvSpPr/>
      </xdr:nvSpPr>
      <xdr:spPr>
        <a:xfrm>
          <a:off x="6546850" y="819150"/>
          <a:ext cx="203200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AVG.DISCOUNT OFFERED</a:t>
          </a:r>
        </a:p>
        <a:p>
          <a:pPr algn="l"/>
          <a:r>
            <a:rPr lang="en-US" sz="1400"/>
            <a:t>=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37.05263158</a:t>
          </a:r>
          <a:endParaRPr lang="en-US" sz="1400"/>
        </a:p>
      </xdr:txBody>
    </xdr:sp>
    <xdr:clientData/>
  </xdr:twoCellAnchor>
  <xdr:twoCellAnchor>
    <xdr:from>
      <xdr:col>8</xdr:col>
      <xdr:colOff>457200</xdr:colOff>
      <xdr:row>4</xdr:row>
      <xdr:rowOff>76200</xdr:rowOff>
    </xdr:from>
    <xdr:to>
      <xdr:col>11</xdr:col>
      <xdr:colOff>196850</xdr:colOff>
      <xdr:row>7</xdr:row>
      <xdr:rowOff>82550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96E8FF-4876-8338-5542-5B095575AE85}"/>
            </a:ext>
          </a:extLst>
        </xdr:cNvPr>
        <xdr:cNvSpPr/>
      </xdr:nvSpPr>
      <xdr:spPr>
        <a:xfrm>
          <a:off x="8807450" y="812800"/>
          <a:ext cx="1854200" cy="55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AVG.RATING</a:t>
          </a:r>
        </a:p>
        <a:p>
          <a:pPr algn="l"/>
          <a:r>
            <a:rPr lang="en-US" sz="1400"/>
            <a:t>=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3.889474</a:t>
          </a:r>
          <a:r>
            <a:rPr lang="en-US" sz="1400">
              <a:effectLst/>
            </a:rPr>
            <a:t> </a:t>
          </a:r>
          <a:endParaRPr lang="en-US" sz="1400"/>
        </a:p>
      </xdr:txBody>
    </xdr:sp>
    <xdr:clientData/>
  </xdr:twoCellAnchor>
  <xdr:twoCellAnchor>
    <xdr:from>
      <xdr:col>11</xdr:col>
      <xdr:colOff>361950</xdr:colOff>
      <xdr:row>4</xdr:row>
      <xdr:rowOff>76200</xdr:rowOff>
    </xdr:from>
    <xdr:to>
      <xdr:col>14</xdr:col>
      <xdr:colOff>38100</xdr:colOff>
      <xdr:row>7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78696AE-B50B-D4D1-AEAB-C43F5BA0180C}"/>
            </a:ext>
          </a:extLst>
        </xdr:cNvPr>
        <xdr:cNvSpPr/>
      </xdr:nvSpPr>
      <xdr:spPr>
        <a:xfrm>
          <a:off x="10826750" y="812800"/>
          <a:ext cx="1504950" cy="552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  <a:r>
            <a:rPr lang="en-US" sz="1400"/>
            <a:t>OTAL REVIEWS CAPTURE=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723</a:t>
          </a:r>
          <a:r>
            <a:rPr lang="en-US" sz="1400">
              <a:effectLst/>
            </a:rPr>
            <a:t> </a:t>
          </a:r>
          <a:endParaRPr lang="en-US" sz="14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152400</xdr:colOff>
      <xdr:row>4</xdr:row>
      <xdr:rowOff>82550</xdr:rowOff>
    </xdr:from>
    <xdr:to>
      <xdr:col>5</xdr:col>
      <xdr:colOff>234950</xdr:colOff>
      <xdr:row>7</xdr:row>
      <xdr:rowOff>120650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088DCE-7C07-C62F-A229-1D4F992BC6D5}"/>
            </a:ext>
          </a:extLst>
        </xdr:cNvPr>
        <xdr:cNvSpPr/>
      </xdr:nvSpPr>
      <xdr:spPr>
        <a:xfrm>
          <a:off x="2197100" y="819150"/>
          <a:ext cx="1517650" cy="590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AVG. SELLING PRICE</a:t>
          </a:r>
        </a:p>
        <a:p>
          <a:pPr algn="l"/>
          <a:r>
            <a:rPr lang="en-US" sz="1400"/>
            <a:t>=</a:t>
          </a:r>
          <a:r>
            <a:rPr lang="en-US" sz="1400">
              <a:effectLst/>
            </a:rPr>
            <a:t> 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1,174.36</a:t>
          </a:r>
          <a:r>
            <a:rPr lang="en-US" sz="1400">
              <a:effectLst/>
            </a:rPr>
            <a:t> </a:t>
          </a:r>
          <a:endParaRPr lang="en-US" sz="1400"/>
        </a:p>
      </xdr:txBody>
    </xdr:sp>
    <xdr:clientData/>
  </xdr:twoCellAnchor>
  <xdr:twoCellAnchor editAs="oneCell">
    <xdr:from>
      <xdr:col>8</xdr:col>
      <xdr:colOff>533400</xdr:colOff>
      <xdr:row>9</xdr:row>
      <xdr:rowOff>44450</xdr:rowOff>
    </xdr:from>
    <xdr:to>
      <xdr:col>16</xdr:col>
      <xdr:colOff>222250</xdr:colOff>
      <xdr:row>19</xdr:row>
      <xdr:rowOff>86061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EF76CF-7DE3-424E-BE27-25C274299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635000</xdr:colOff>
      <xdr:row>19</xdr:row>
      <xdr:rowOff>368301</xdr:rowOff>
    </xdr:from>
    <xdr:to>
      <xdr:col>16</xdr:col>
      <xdr:colOff>120650</xdr:colOff>
      <xdr:row>23</xdr:row>
      <xdr:rowOff>254001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25787BC-7A4D-4BD5-8F98-8767EA74B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Packages/5319275A.WhatsAppDesktop_cv1g1gvanyjgm/LocalState/sessions/DA3B151A9B0BE1B41C0D14AADA4CB0D4AC0C640D/transfers/2026-38/Jumia_Product_Performance_Dashboard.xlsx" TargetMode="External"/><Relationship Id="rId2" Type="http://schemas.openxmlformats.org/officeDocument/2006/relationships/externalLinkPath" Target="file:///C:\Users\Admin\AppData\Local\Packages\5319275A.WhatsAppDesktop_cv1g1gvanyjgm\LocalState\sessions\DA3B151A9B0BE1B41C0D14AADA4CB0D4AC0C640D\transfers\2026-38\Jumia_Product_Performance_Dashboard.xlsx" TargetMode="External"/><Relationship Id="rId1" Type="http://schemas.openxmlformats.org/officeDocument/2006/relationships/externalLinkPath" Target="/Users/Admin/AppData/Local/Packages/5319275A.WhatsAppDesktop_cv1g1gvanyjgm/LocalState/sessions/DA3B151A9B0BE1B41C0D14AADA4CB0D4AC0C640D/transfers/2026-38/Jumia_Product_Performanc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Raw Data"/>
      <sheetName val="Clean Data"/>
      <sheetName val="Read Me &amp; Insights (2)"/>
      <sheetName val="Read Me &amp; Insights"/>
    </sheetNames>
    <sheetDataSet>
      <sheetData sheetId="0"/>
      <sheetData sheetId="1"/>
      <sheetData sheetId="2">
        <row r="2">
          <cell r="D2">
            <v>0.38</v>
          </cell>
          <cell r="F2">
            <v>2</v>
          </cell>
          <cell r="H2">
            <v>4.5</v>
          </cell>
        </row>
        <row r="3">
          <cell r="D3">
            <v>0.47</v>
          </cell>
          <cell r="F3">
            <v>14</v>
          </cell>
          <cell r="H3">
            <v>4.0999999999999996</v>
          </cell>
        </row>
        <row r="4">
          <cell r="D4">
            <v>0.25</v>
          </cell>
          <cell r="F4">
            <v>24</v>
          </cell>
          <cell r="H4">
            <v>4.5999999999999996</v>
          </cell>
        </row>
        <row r="5">
          <cell r="D5">
            <v>0.37</v>
          </cell>
          <cell r="F5">
            <v>7</v>
          </cell>
          <cell r="H5">
            <v>4.7</v>
          </cell>
        </row>
        <row r="6">
          <cell r="D6">
            <v>0.26</v>
          </cell>
          <cell r="F6">
            <v>5</v>
          </cell>
          <cell r="H6">
            <v>4.8</v>
          </cell>
        </row>
        <row r="7">
          <cell r="D7">
            <v>0.09</v>
          </cell>
          <cell r="F7">
            <v>15</v>
          </cell>
          <cell r="H7">
            <v>4</v>
          </cell>
        </row>
        <row r="8">
          <cell r="D8">
            <v>0.24</v>
          </cell>
          <cell r="F8">
            <v>55</v>
          </cell>
          <cell r="H8">
            <v>4.5999999999999996</v>
          </cell>
        </row>
        <row r="9">
          <cell r="D9">
            <v>0.37</v>
          </cell>
          <cell r="F9">
            <v>2</v>
          </cell>
          <cell r="H9">
            <v>4</v>
          </cell>
        </row>
        <row r="10">
          <cell r="D10">
            <v>0.55000000000000004</v>
          </cell>
          <cell r="F10">
            <v>5</v>
          </cell>
          <cell r="H10">
            <v>4.8</v>
          </cell>
        </row>
        <row r="11">
          <cell r="D11">
            <v>0.45</v>
          </cell>
          <cell r="F11">
            <v>5</v>
          </cell>
          <cell r="H11">
            <v>3.8</v>
          </cell>
        </row>
        <row r="12">
          <cell r="D12">
            <v>0.2</v>
          </cell>
          <cell r="F12">
            <v>12</v>
          </cell>
          <cell r="H12">
            <v>4.0999999999999996</v>
          </cell>
        </row>
        <row r="13">
          <cell r="D13">
            <v>0.34</v>
          </cell>
          <cell r="F13">
            <v>39</v>
          </cell>
          <cell r="H13">
            <v>4.7</v>
          </cell>
        </row>
        <row r="14">
          <cell r="D14">
            <v>0.47</v>
          </cell>
          <cell r="F14">
            <v>12</v>
          </cell>
          <cell r="H14">
            <v>4.8</v>
          </cell>
        </row>
        <row r="15">
          <cell r="D15">
            <v>0.42</v>
          </cell>
          <cell r="F15">
            <v>6</v>
          </cell>
          <cell r="H15">
            <v>4.5</v>
          </cell>
        </row>
        <row r="16">
          <cell r="D16">
            <v>0.33</v>
          </cell>
          <cell r="F16">
            <v>9</v>
          </cell>
          <cell r="H16">
            <v>4.2</v>
          </cell>
        </row>
        <row r="17">
          <cell r="D17">
            <v>0.51</v>
          </cell>
          <cell r="F17">
            <v>2</v>
          </cell>
          <cell r="H17">
            <v>5</v>
          </cell>
        </row>
        <row r="18">
          <cell r="D18">
            <v>0.46</v>
          </cell>
          <cell r="F18">
            <v>2</v>
          </cell>
          <cell r="H18">
            <v>5</v>
          </cell>
        </row>
        <row r="19">
          <cell r="D19">
            <v>0.49</v>
          </cell>
          <cell r="F19">
            <v>3</v>
          </cell>
          <cell r="H19">
            <v>5</v>
          </cell>
        </row>
        <row r="20">
          <cell r="D20">
            <v>0.19</v>
          </cell>
          <cell r="F20">
            <v>5</v>
          </cell>
          <cell r="H20">
            <v>4.5999999999999996</v>
          </cell>
        </row>
        <row r="21">
          <cell r="D21">
            <v>0.49</v>
          </cell>
          <cell r="F21">
            <v>44</v>
          </cell>
          <cell r="H21">
            <v>4.5999999999999996</v>
          </cell>
        </row>
        <row r="22">
          <cell r="D22">
            <v>0.53</v>
          </cell>
          <cell r="F22">
            <v>13</v>
          </cell>
          <cell r="H22">
            <v>3.3</v>
          </cell>
        </row>
        <row r="23">
          <cell r="D23">
            <v>0.35</v>
          </cell>
          <cell r="F23">
            <v>6</v>
          </cell>
          <cell r="H23">
            <v>4</v>
          </cell>
        </row>
        <row r="24">
          <cell r="D24">
            <v>0.23</v>
          </cell>
          <cell r="F24">
            <v>14</v>
          </cell>
          <cell r="H24">
            <v>4.4000000000000004</v>
          </cell>
        </row>
        <row r="25">
          <cell r="D25">
            <v>0.54</v>
          </cell>
          <cell r="F25">
            <v>7</v>
          </cell>
          <cell r="H25">
            <v>4.3</v>
          </cell>
        </row>
        <row r="26">
          <cell r="D26">
            <v>0.35</v>
          </cell>
          <cell r="F26">
            <v>49</v>
          </cell>
          <cell r="H26">
            <v>4.5999999999999996</v>
          </cell>
        </row>
        <row r="27">
          <cell r="D27">
            <v>0.18</v>
          </cell>
          <cell r="F27">
            <v>12</v>
          </cell>
          <cell r="H27">
            <v>3.8</v>
          </cell>
        </row>
        <row r="28">
          <cell r="D28">
            <v>0.32</v>
          </cell>
          <cell r="F28">
            <v>13</v>
          </cell>
          <cell r="H28">
            <v>3.8</v>
          </cell>
        </row>
        <row r="29">
          <cell r="D29">
            <v>0.3</v>
          </cell>
          <cell r="F29">
            <v>20</v>
          </cell>
          <cell r="H29">
            <v>4.0999999999999996</v>
          </cell>
        </row>
        <row r="30">
          <cell r="D30">
            <v>0.52</v>
          </cell>
          <cell r="F30">
            <v>9</v>
          </cell>
          <cell r="H30">
            <v>4.3</v>
          </cell>
        </row>
        <row r="31">
          <cell r="D31">
            <v>0.34</v>
          </cell>
          <cell r="F31">
            <v>12</v>
          </cell>
          <cell r="H31">
            <v>4.7</v>
          </cell>
        </row>
        <row r="32">
          <cell r="D32">
            <v>0.48</v>
          </cell>
          <cell r="F32">
            <v>9</v>
          </cell>
          <cell r="H32">
            <v>4.3</v>
          </cell>
        </row>
        <row r="33">
          <cell r="D33">
            <v>0.27</v>
          </cell>
          <cell r="F33">
            <v>20</v>
          </cell>
          <cell r="H33">
            <v>4.7</v>
          </cell>
        </row>
        <row r="34">
          <cell r="D34">
            <v>0.27</v>
          </cell>
          <cell r="F34">
            <v>32</v>
          </cell>
          <cell r="H34">
            <v>4.5</v>
          </cell>
        </row>
        <row r="35">
          <cell r="D35">
            <v>0.4</v>
          </cell>
          <cell r="F35">
            <v>1</v>
          </cell>
          <cell r="H35">
            <v>5</v>
          </cell>
        </row>
        <row r="36">
          <cell r="D36">
            <v>0.53</v>
          </cell>
          <cell r="F36">
            <v>2</v>
          </cell>
          <cell r="H36">
            <v>5</v>
          </cell>
        </row>
        <row r="37">
          <cell r="D37">
            <v>0.41</v>
          </cell>
          <cell r="F37">
            <v>36</v>
          </cell>
          <cell r="H37">
            <v>4.3</v>
          </cell>
        </row>
        <row r="38">
          <cell r="D38">
            <v>0.38</v>
          </cell>
          <cell r="F38">
            <v>2</v>
          </cell>
          <cell r="H38">
            <v>4.5</v>
          </cell>
        </row>
        <row r="39">
          <cell r="D39">
            <v>0.13</v>
          </cell>
          <cell r="F39">
            <v>6</v>
          </cell>
          <cell r="H39">
            <v>2.5</v>
          </cell>
        </row>
        <row r="40">
          <cell r="D40">
            <v>0.54</v>
          </cell>
          <cell r="F40">
            <v>10</v>
          </cell>
          <cell r="H40">
            <v>3</v>
          </cell>
        </row>
        <row r="41">
          <cell r="D41">
            <v>0.55000000000000004</v>
          </cell>
          <cell r="F41">
            <v>13</v>
          </cell>
          <cell r="H41">
            <v>2.1</v>
          </cell>
        </row>
        <row r="42">
          <cell r="D42">
            <v>0.49</v>
          </cell>
          <cell r="F42">
            <v>69</v>
          </cell>
          <cell r="H42">
            <v>2.8</v>
          </cell>
        </row>
        <row r="43">
          <cell r="D43">
            <v>0.52</v>
          </cell>
          <cell r="F43">
            <v>15</v>
          </cell>
          <cell r="H43">
            <v>2.7</v>
          </cell>
        </row>
        <row r="44">
          <cell r="D44">
            <v>0.22</v>
          </cell>
          <cell r="F44">
            <v>16</v>
          </cell>
          <cell r="H44">
            <v>2.9</v>
          </cell>
        </row>
        <row r="45">
          <cell r="D45">
            <v>0.45</v>
          </cell>
          <cell r="F45">
            <v>6</v>
          </cell>
          <cell r="H45">
            <v>2.2000000000000002</v>
          </cell>
        </row>
        <row r="46">
          <cell r="D46">
            <v>0.5</v>
          </cell>
          <cell r="F46">
            <v>7</v>
          </cell>
          <cell r="H46">
            <v>2.2999999999999998</v>
          </cell>
        </row>
        <row r="47">
          <cell r="D47">
            <v>0.39</v>
          </cell>
          <cell r="F47">
            <v>5</v>
          </cell>
          <cell r="H47">
            <v>3</v>
          </cell>
        </row>
        <row r="48">
          <cell r="D48">
            <v>0.45</v>
          </cell>
          <cell r="F48">
            <v>17</v>
          </cell>
          <cell r="H48">
            <v>2.6</v>
          </cell>
        </row>
        <row r="49">
          <cell r="D49">
            <v>0.28999999999999998</v>
          </cell>
          <cell r="F49">
            <v>5</v>
          </cell>
          <cell r="H49">
            <v>3</v>
          </cell>
        </row>
        <row r="50">
          <cell r="D50">
            <v>0.43</v>
          </cell>
          <cell r="F50">
            <v>6</v>
          </cell>
          <cell r="H50">
            <v>2.2999999999999998</v>
          </cell>
        </row>
        <row r="51">
          <cell r="D51">
            <v>0.43</v>
          </cell>
          <cell r="F51">
            <v>5</v>
          </cell>
          <cell r="H51">
            <v>3</v>
          </cell>
        </row>
        <row r="52">
          <cell r="D52">
            <v>0.47</v>
          </cell>
          <cell r="F52">
            <v>6</v>
          </cell>
          <cell r="H52">
            <v>2.2000000000000002</v>
          </cell>
        </row>
        <row r="53">
          <cell r="D53">
            <v>0.47</v>
          </cell>
          <cell r="F53">
            <v>7</v>
          </cell>
          <cell r="H53">
            <v>2.1</v>
          </cell>
        </row>
        <row r="54">
          <cell r="D54">
            <v>0.46</v>
          </cell>
          <cell r="F54">
            <v>1</v>
          </cell>
          <cell r="H54">
            <v>3</v>
          </cell>
        </row>
        <row r="55">
          <cell r="D55">
            <v>0.49</v>
          </cell>
          <cell r="F55">
            <v>1</v>
          </cell>
          <cell r="H55">
            <v>5</v>
          </cell>
        </row>
        <row r="56">
          <cell r="D56">
            <v>0.49</v>
          </cell>
          <cell r="F56">
            <v>1</v>
          </cell>
          <cell r="H56">
            <v>4</v>
          </cell>
        </row>
        <row r="57">
          <cell r="D57">
            <v>0.21</v>
          </cell>
          <cell r="F57">
            <v>1</v>
          </cell>
          <cell r="H57">
            <v>5</v>
          </cell>
        </row>
        <row r="58">
          <cell r="D58">
            <v>0.5</v>
          </cell>
          <cell r="F58">
            <v>1</v>
          </cell>
          <cell r="H58">
            <v>2</v>
          </cell>
        </row>
      </sheetData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A3AD53-D63B-4516-B5C0-2EC13D78EE25}" autoFormatId="16" applyNumberFormats="0" applyBorderFormats="0" applyFontFormats="0" applyPatternFormats="0" applyAlignmentFormats="0" applyWidthHeightFormats="0">
  <queryTableRefresh nextId="7">
    <queryTableFields count="6">
      <queryTableField id="1" name="Product" tableColumnId="1"/>
      <queryTableField id="2" name="Current price" tableColumnId="2"/>
      <queryTableField id="3" name="old price" tableColumnId="3"/>
      <queryTableField id="4" name="Discount" tableColumnId="4"/>
      <queryTableField id="5" name="Review" tableColumnId="5"/>
      <queryTableField id="6" name="Rating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32CED-BF35-46D6-85D5-48B20DF43931}" name="Excel_jumia_dataset__1" displayName="Excel_jumia_dataset__1" ref="A1:F116" tableType="queryTable" totalsRowShown="0">
  <autoFilter ref="A1:F116" xr:uid="{CA432CED-BF35-46D6-85D5-48B20DF43931}"/>
  <tableColumns count="6">
    <tableColumn id="1" xr3:uid="{DCDF3578-C88F-40C3-A943-7ACD66A6F73C}" uniqueName="1" name="Product" queryTableFieldId="1" dataDxfId="5"/>
    <tableColumn id="2" xr3:uid="{DA3530C3-A893-4924-BCBC-E34A17F8C36E}" uniqueName="2" name="Current price" queryTableFieldId="2" dataDxfId="4"/>
    <tableColumn id="3" xr3:uid="{019F3964-1D5F-405B-94C0-725D08992F54}" uniqueName="3" name="old price" queryTableFieldId="3" dataDxfId="3"/>
    <tableColumn id="4" xr3:uid="{8A2F7557-504F-4A19-914D-CE47894D26B7}" uniqueName="4" name="Discount" queryTableFieldId="4"/>
    <tableColumn id="5" xr3:uid="{BC599A58-C5BB-48F0-A045-451BF96FF4FA}" uniqueName="5" name="Review" queryTableFieldId="5"/>
    <tableColumn id="6" xr3:uid="{B89A5702-C214-4D1D-A908-4EFF459BE54E}" uniqueName="6" name="Ratingd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6BF95-D266-4C06-9E9B-93F907707CEF}" name="Table3" displayName="Table3" ref="A1:K117" totalsRowCount="1">
  <autoFilter ref="A1:K116" xr:uid="{3886BF95-D266-4C06-9E9B-93F907707CEF}"/>
  <tableColumns count="11">
    <tableColumn id="1" xr3:uid="{BCCF1210-F6D4-4DF4-B3AB-99FDAE8EBA7A}" name="Product" totalsRowFunction="count"/>
    <tableColumn id="2" xr3:uid="{B371097D-28A5-4334-AA2F-6337351C0EA5}" name="Current price" totalsRowFunction="average" dataDxfId="13" totalsRowDxfId="12"/>
    <tableColumn id="3" xr3:uid="{29AB3ED5-E9E7-4BBE-94B6-FA9444D673D1}" name="old price" totalsRowFunction="average" dataDxfId="11" totalsRowDxfId="10"/>
    <tableColumn id="4" xr3:uid="{9973C719-4828-4504-809A-567E767A098F}" name="Savings" dataDxfId="9" totalsRowDxfId="8">
      <calculatedColumnFormula>C2-B2</calculatedColumnFormula>
    </tableColumn>
    <tableColumn id="5" xr3:uid="{220EB312-CAFF-4371-82CD-7690F92E5421}" name="Discount"/>
    <tableColumn id="6" xr3:uid="{C5F5A2E4-10D2-439F-AEB7-E063FCAE7260}" name="Discount %" totalsRowFunction="average">
      <calculatedColumnFormula>E2*100</calculatedColumnFormula>
    </tableColumn>
    <tableColumn id="7" xr3:uid="{10BF736B-DFE0-4FC5-AA75-D8620088DE58}" name="Review" totalsRowFunction="sum"/>
    <tableColumn id="8" xr3:uid="{C336132B-B097-4577-A7A6-1B28682A13CA}" name="Has Reviews">
      <calculatedColumnFormula>IF(ISBLANK(G2),"NO","YES")</calculatedColumnFormula>
    </tableColumn>
    <tableColumn id="9" xr3:uid="{AA2F09A8-A4ED-4B4C-8AA7-7C77D7615D06}" name="Ratings" totalsRowFunction="average"/>
    <tableColumn id="10" xr3:uid="{C4DD0A9A-34C2-4325-8ED7-F2AA814726BC}" name="RANK TOP PERFORMER" dataDxfId="7">
      <calculatedColumnFormula>IF(AND(I2&lt;&gt;"", I2&gt;=DASHBOARD!$B$16), G2+ROW()/100000, "")</calculatedColumnFormula>
    </tableColumn>
    <tableColumn id="11" xr3:uid="{1ADB8D46-3950-433C-A081-DA3AB9748FD6}" name="RANK NEEDS ATTENTION" dataDxfId="6">
      <calculatedColumnFormula>IF(AND(F2&gt;=DASHBOARD!$B$31,OR(G2="",G2&lt;=DASHBOARD!$E$31)),F2+ROW()/100000,"")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3615CB-07D0-4B9C-988B-137954168908}" name="Table6" displayName="Table6" ref="A10:C13" totalsRowShown="0">
  <autoFilter ref="A10:C13" xr:uid="{A73615CB-07D0-4B9C-988B-137954168908}"/>
  <tableColumns count="3">
    <tableColumn id="1" xr3:uid="{06C805AD-D24D-4FC7-A64B-1267C88F9BE4}" name="RELATIONSHIPS"/>
    <tableColumn id="5" xr3:uid="{4501189D-2259-41EB-AA5C-5C28FC012BE5}" name="CORRELATION (r)"/>
    <tableColumn id="7" xr3:uid="{DD031E1A-AF00-4C4A-BFF1-68A1786D2A64}" name="REA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42B073-8D0B-4F0D-885F-1427F237FD4F}" name="Table8" displayName="Table8" ref="A17:F27" totalsRowShown="0">
  <autoFilter ref="A17:F27" xr:uid="{AA42B073-8D0B-4F0D-885F-1427F237FD4F}"/>
  <tableColumns count="6">
    <tableColumn id="1" xr3:uid="{3A8B039C-7ACF-4510-93FB-852C381A1228}" name="NUMBER"/>
    <tableColumn id="2" xr3:uid="{EEF7F408-A194-4472-99B9-61DCEDC7B128}" name="PRODUCT " dataDxfId="1"/>
    <tableColumn id="3" xr3:uid="{31462E35-BCDC-4FAA-BF20-9F8C05C0FF41}" name="RATING"/>
    <tableColumn id="4" xr3:uid="{4533F681-41D9-445F-9BCF-6FDBBC8B8A16}" name="REVIEWS"/>
    <tableColumn id="5" xr3:uid="{461E901B-D46A-4BE0-8D84-D3F119DB1301}" name="PRICE"/>
    <tableColumn id="6" xr3:uid="{74EDB5E8-FB03-4313-B327-9CB7212C934F}" name="DISCOUNT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028067-CFF7-4AAB-8D1D-4C12E4EB09AE}" name="Table11" displayName="Table11" ref="B32:D43" totalsRowShown="0">
  <autoFilter ref="B32:D43" xr:uid="{4A028067-CFF7-4AAB-8D1D-4C12E4EB09AE}"/>
  <tableColumns count="3">
    <tableColumn id="1" xr3:uid="{41677D95-7C4B-4C54-8960-90CFF56C9067}" name="PRODUCT" dataDxfId="0"/>
    <tableColumn id="2" xr3:uid="{3B3662E7-29CC-4B35-BC49-C5DD21283825}" name="DISCOUNT"/>
    <tableColumn id="3" xr3:uid="{8ECCB520-3007-45CB-BEFD-21858D80BBF6}" name="REVIE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91D586-4C82-4BFC-9094-D32E38FE941D}" name="Table12" displayName="Table12" ref="A32:A42" totalsRowShown="0">
  <autoFilter ref="A32:A42" xr:uid="{4891D586-4C82-4BFC-9094-D32E38FE941D}"/>
  <tableColumns count="1">
    <tableColumn id="1" xr3:uid="{3ED70CA4-1015-4B97-B725-8590AA7EE6C2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</a:majorFont>
    <a:minorFont>
      <a:latin typeface="Calibri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</a:majorFont>
    <a:minorFont>
      <a:latin typeface="Calibri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0820-84DE-492E-A10B-FF7989044897}">
  <dimension ref="A1:F116"/>
  <sheetViews>
    <sheetView workbookViewId="0">
      <selection sqref="A1:XFD1048576"/>
    </sheetView>
  </sheetViews>
  <sheetFormatPr defaultRowHeight="14.5" x14ac:dyDescent="0.35"/>
  <cols>
    <col min="1" max="1" width="80.7265625" bestFit="1" customWidth="1"/>
    <col min="2" max="3" width="18.36328125" bestFit="1" customWidth="1"/>
    <col min="4" max="4" width="10.453125" bestFit="1" customWidth="1"/>
    <col min="5" max="5" width="9" bestFit="1" customWidth="1"/>
    <col min="6" max="6" width="1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0.38</v>
      </c>
      <c r="E2">
        <v>-2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0.47</v>
      </c>
      <c r="E3">
        <v>-14</v>
      </c>
      <c r="F3" t="s">
        <v>13</v>
      </c>
    </row>
    <row r="4" spans="1:6" x14ac:dyDescent="0.35">
      <c r="A4" t="s">
        <v>14</v>
      </c>
      <c r="B4" t="s">
        <v>15</v>
      </c>
      <c r="C4" t="s">
        <v>16</v>
      </c>
      <c r="D4">
        <v>0.25</v>
      </c>
      <c r="E4">
        <v>-24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>
        <v>0.37</v>
      </c>
      <c r="E5">
        <v>-7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>
        <v>0.26</v>
      </c>
      <c r="E6">
        <v>-5</v>
      </c>
      <c r="F6" t="s">
        <v>25</v>
      </c>
    </row>
    <row r="7" spans="1:6" x14ac:dyDescent="0.35">
      <c r="A7" t="s">
        <v>26</v>
      </c>
      <c r="B7" t="s">
        <v>27</v>
      </c>
      <c r="C7" t="s">
        <v>28</v>
      </c>
      <c r="D7">
        <v>0.09</v>
      </c>
      <c r="E7">
        <v>-15</v>
      </c>
      <c r="F7" t="s">
        <v>29</v>
      </c>
    </row>
    <row r="8" spans="1:6" x14ac:dyDescent="0.35">
      <c r="A8" t="s">
        <v>30</v>
      </c>
      <c r="B8" t="s">
        <v>31</v>
      </c>
      <c r="C8" t="s">
        <v>32</v>
      </c>
      <c r="D8">
        <v>0.24</v>
      </c>
      <c r="E8">
        <v>-55</v>
      </c>
      <c r="F8" t="s">
        <v>17</v>
      </c>
    </row>
    <row r="9" spans="1:6" x14ac:dyDescent="0.35">
      <c r="A9" t="s">
        <v>33</v>
      </c>
      <c r="B9" t="s">
        <v>34</v>
      </c>
      <c r="C9" t="s">
        <v>19</v>
      </c>
      <c r="D9">
        <v>0.37</v>
      </c>
      <c r="E9">
        <v>-2</v>
      </c>
      <c r="F9" t="s">
        <v>29</v>
      </c>
    </row>
    <row r="10" spans="1:6" x14ac:dyDescent="0.35">
      <c r="A10" t="s">
        <v>35</v>
      </c>
      <c r="B10" t="s">
        <v>36</v>
      </c>
      <c r="C10" t="s">
        <v>37</v>
      </c>
      <c r="D10">
        <v>0.55000000000000004</v>
      </c>
      <c r="E10">
        <v>-5</v>
      </c>
      <c r="F10" t="s">
        <v>25</v>
      </c>
    </row>
    <row r="11" spans="1:6" x14ac:dyDescent="0.35">
      <c r="A11" t="s">
        <v>38</v>
      </c>
      <c r="B11" t="s">
        <v>39</v>
      </c>
      <c r="C11" t="s">
        <v>40</v>
      </c>
      <c r="D11">
        <v>0.45</v>
      </c>
      <c r="E11">
        <v>-5</v>
      </c>
      <c r="F11" t="s">
        <v>41</v>
      </c>
    </row>
    <row r="12" spans="1:6" x14ac:dyDescent="0.35">
      <c r="A12" t="s">
        <v>42</v>
      </c>
      <c r="B12" t="s">
        <v>43</v>
      </c>
      <c r="C12" t="s">
        <v>12</v>
      </c>
      <c r="D12">
        <v>0.2</v>
      </c>
      <c r="E12">
        <v>-12</v>
      </c>
      <c r="F12" t="s">
        <v>13</v>
      </c>
    </row>
    <row r="13" spans="1:6" x14ac:dyDescent="0.35">
      <c r="A13" t="s">
        <v>44</v>
      </c>
      <c r="B13" t="s">
        <v>45</v>
      </c>
      <c r="C13" t="s">
        <v>46</v>
      </c>
      <c r="D13">
        <v>0.34</v>
      </c>
      <c r="E13">
        <v>-39</v>
      </c>
      <c r="F13" t="s">
        <v>21</v>
      </c>
    </row>
    <row r="14" spans="1:6" x14ac:dyDescent="0.35">
      <c r="A14" t="s">
        <v>47</v>
      </c>
      <c r="B14" t="s">
        <v>48</v>
      </c>
      <c r="C14" t="s">
        <v>49</v>
      </c>
      <c r="D14">
        <v>0.47</v>
      </c>
      <c r="E14">
        <v>-12</v>
      </c>
      <c r="F14" t="s">
        <v>25</v>
      </c>
    </row>
    <row r="15" spans="1:6" x14ac:dyDescent="0.35">
      <c r="A15" t="s">
        <v>50</v>
      </c>
      <c r="B15" t="s">
        <v>51</v>
      </c>
      <c r="C15" t="s">
        <v>52</v>
      </c>
      <c r="D15">
        <v>0.42</v>
      </c>
      <c r="E15">
        <v>-6</v>
      </c>
      <c r="F15" t="s">
        <v>9</v>
      </c>
    </row>
    <row r="16" spans="1:6" x14ac:dyDescent="0.35">
      <c r="A16" t="s">
        <v>53</v>
      </c>
      <c r="B16" t="s">
        <v>54</v>
      </c>
      <c r="C16" t="s">
        <v>20</v>
      </c>
      <c r="D16">
        <v>0.33</v>
      </c>
      <c r="E16">
        <v>-9</v>
      </c>
      <c r="F16" t="s">
        <v>55</v>
      </c>
    </row>
    <row r="17" spans="1:6" x14ac:dyDescent="0.35">
      <c r="A17" t="s">
        <v>56</v>
      </c>
      <c r="B17" t="s">
        <v>57</v>
      </c>
      <c r="C17" t="s">
        <v>58</v>
      </c>
      <c r="D17">
        <v>0.51</v>
      </c>
      <c r="E17">
        <v>-2</v>
      </c>
      <c r="F17" t="s">
        <v>59</v>
      </c>
    </row>
    <row r="18" spans="1:6" x14ac:dyDescent="0.35">
      <c r="A18" t="s">
        <v>60</v>
      </c>
      <c r="B18" t="s">
        <v>61</v>
      </c>
      <c r="C18" t="s">
        <v>62</v>
      </c>
      <c r="D18">
        <v>0.46</v>
      </c>
      <c r="E18">
        <v>-2</v>
      </c>
      <c r="F18" t="s">
        <v>59</v>
      </c>
    </row>
    <row r="19" spans="1:6" x14ac:dyDescent="0.35">
      <c r="A19" t="s">
        <v>63</v>
      </c>
      <c r="B19" t="s">
        <v>64</v>
      </c>
      <c r="C19" t="s">
        <v>65</v>
      </c>
      <c r="D19">
        <v>0.49</v>
      </c>
      <c r="E19">
        <v>-3</v>
      </c>
      <c r="F19" t="s">
        <v>59</v>
      </c>
    </row>
    <row r="20" spans="1:6" x14ac:dyDescent="0.35">
      <c r="A20" t="s">
        <v>66</v>
      </c>
      <c r="B20" t="s">
        <v>27</v>
      </c>
      <c r="C20" t="s">
        <v>67</v>
      </c>
      <c r="D20">
        <v>0.19</v>
      </c>
      <c r="E20">
        <v>-5</v>
      </c>
      <c r="F20" t="s">
        <v>17</v>
      </c>
    </row>
    <row r="21" spans="1:6" x14ac:dyDescent="0.35">
      <c r="A21" t="s">
        <v>68</v>
      </c>
      <c r="B21" t="s">
        <v>69</v>
      </c>
      <c r="C21" t="s">
        <v>70</v>
      </c>
      <c r="D21">
        <v>0.49</v>
      </c>
      <c r="E21">
        <v>-44</v>
      </c>
      <c r="F21" t="s">
        <v>17</v>
      </c>
    </row>
    <row r="22" spans="1:6" x14ac:dyDescent="0.35">
      <c r="A22" t="s">
        <v>71</v>
      </c>
      <c r="B22" t="s">
        <v>72</v>
      </c>
      <c r="C22" t="s">
        <v>73</v>
      </c>
      <c r="D22">
        <v>0.53</v>
      </c>
      <c r="E22">
        <v>-13</v>
      </c>
      <c r="F22" t="s">
        <v>74</v>
      </c>
    </row>
    <row r="23" spans="1:6" x14ac:dyDescent="0.35">
      <c r="A23" t="s">
        <v>75</v>
      </c>
      <c r="B23" t="s">
        <v>76</v>
      </c>
      <c r="C23" t="s">
        <v>77</v>
      </c>
      <c r="D23">
        <v>0.42</v>
      </c>
      <c r="F23" t="s">
        <v>78</v>
      </c>
    </row>
    <row r="24" spans="1:6" x14ac:dyDescent="0.35">
      <c r="A24" t="s">
        <v>79</v>
      </c>
      <c r="B24" t="s">
        <v>80</v>
      </c>
      <c r="C24" t="s">
        <v>81</v>
      </c>
      <c r="D24">
        <v>0.35</v>
      </c>
      <c r="E24">
        <v>-6</v>
      </c>
      <c r="F24" t="s">
        <v>29</v>
      </c>
    </row>
    <row r="25" spans="1:6" x14ac:dyDescent="0.35">
      <c r="A25" t="s">
        <v>82</v>
      </c>
      <c r="B25" t="s">
        <v>83</v>
      </c>
      <c r="C25" t="s">
        <v>84</v>
      </c>
      <c r="D25">
        <v>0.23</v>
      </c>
      <c r="E25">
        <v>-14</v>
      </c>
      <c r="F25" t="s">
        <v>85</v>
      </c>
    </row>
    <row r="26" spans="1:6" x14ac:dyDescent="0.35">
      <c r="A26" t="s">
        <v>86</v>
      </c>
      <c r="B26" t="s">
        <v>87</v>
      </c>
      <c r="C26" t="s">
        <v>88</v>
      </c>
      <c r="D26">
        <v>0.54</v>
      </c>
      <c r="E26">
        <v>-7</v>
      </c>
      <c r="F26" t="s">
        <v>89</v>
      </c>
    </row>
    <row r="27" spans="1:6" x14ac:dyDescent="0.35">
      <c r="A27" t="s">
        <v>90</v>
      </c>
      <c r="B27" t="s">
        <v>91</v>
      </c>
      <c r="C27" t="s">
        <v>92</v>
      </c>
      <c r="D27">
        <v>0.35</v>
      </c>
      <c r="E27">
        <v>-49</v>
      </c>
      <c r="F27" t="s">
        <v>17</v>
      </c>
    </row>
    <row r="28" spans="1:6" x14ac:dyDescent="0.35">
      <c r="A28" t="s">
        <v>93</v>
      </c>
      <c r="B28" t="s">
        <v>94</v>
      </c>
      <c r="C28" t="s">
        <v>95</v>
      </c>
      <c r="D28">
        <v>0.18</v>
      </c>
      <c r="E28">
        <v>-12</v>
      </c>
      <c r="F28" t="s">
        <v>41</v>
      </c>
    </row>
    <row r="29" spans="1:6" x14ac:dyDescent="0.35">
      <c r="A29" t="s">
        <v>96</v>
      </c>
      <c r="B29" t="s">
        <v>81</v>
      </c>
      <c r="C29" t="s">
        <v>97</v>
      </c>
      <c r="D29">
        <v>0.32</v>
      </c>
      <c r="E29">
        <v>-13</v>
      </c>
      <c r="F29" t="s">
        <v>41</v>
      </c>
    </row>
    <row r="30" spans="1:6" x14ac:dyDescent="0.35">
      <c r="A30" t="s">
        <v>98</v>
      </c>
      <c r="B30" t="s">
        <v>99</v>
      </c>
      <c r="C30" t="s">
        <v>20</v>
      </c>
      <c r="D30">
        <v>0.3</v>
      </c>
      <c r="E30">
        <v>-20</v>
      </c>
      <c r="F30" t="s">
        <v>13</v>
      </c>
    </row>
    <row r="31" spans="1:6" x14ac:dyDescent="0.35">
      <c r="A31" t="s">
        <v>100</v>
      </c>
      <c r="B31" t="s">
        <v>101</v>
      </c>
      <c r="C31" t="s">
        <v>102</v>
      </c>
      <c r="D31">
        <v>0.46</v>
      </c>
      <c r="F31" t="s">
        <v>78</v>
      </c>
    </row>
    <row r="32" spans="1:6" x14ac:dyDescent="0.35">
      <c r="A32" t="s">
        <v>103</v>
      </c>
      <c r="B32" t="s">
        <v>104</v>
      </c>
      <c r="C32" t="s">
        <v>105</v>
      </c>
      <c r="D32">
        <v>0.52</v>
      </c>
      <c r="E32">
        <v>-9</v>
      </c>
      <c r="F32" t="s">
        <v>89</v>
      </c>
    </row>
    <row r="33" spans="1:6" x14ac:dyDescent="0.35">
      <c r="A33" t="s">
        <v>106</v>
      </c>
      <c r="B33" t="s">
        <v>107</v>
      </c>
      <c r="C33" t="s">
        <v>108</v>
      </c>
      <c r="D33">
        <v>0.34</v>
      </c>
      <c r="E33">
        <v>-12</v>
      </c>
      <c r="F33" t="s">
        <v>21</v>
      </c>
    </row>
    <row r="34" spans="1:6" x14ac:dyDescent="0.35">
      <c r="A34" t="s">
        <v>109</v>
      </c>
      <c r="B34" t="s">
        <v>110</v>
      </c>
      <c r="C34" t="s">
        <v>111</v>
      </c>
      <c r="D34">
        <v>0.48</v>
      </c>
      <c r="E34">
        <v>-9</v>
      </c>
      <c r="F34" t="s">
        <v>89</v>
      </c>
    </row>
    <row r="35" spans="1:6" x14ac:dyDescent="0.35">
      <c r="A35" t="s">
        <v>112</v>
      </c>
      <c r="B35" t="s">
        <v>113</v>
      </c>
      <c r="C35" t="s">
        <v>114</v>
      </c>
      <c r="D35">
        <v>0.27</v>
      </c>
      <c r="E35">
        <v>-20</v>
      </c>
      <c r="F35" t="s">
        <v>21</v>
      </c>
    </row>
    <row r="36" spans="1:6" x14ac:dyDescent="0.35">
      <c r="A36" t="s">
        <v>115</v>
      </c>
      <c r="B36" t="s">
        <v>116</v>
      </c>
      <c r="C36" t="s">
        <v>117</v>
      </c>
      <c r="D36">
        <v>0.27</v>
      </c>
      <c r="E36">
        <v>-32</v>
      </c>
      <c r="F36" t="s">
        <v>9</v>
      </c>
    </row>
    <row r="37" spans="1:6" x14ac:dyDescent="0.35">
      <c r="A37" t="s">
        <v>118</v>
      </c>
      <c r="B37" t="s">
        <v>119</v>
      </c>
      <c r="C37" t="s">
        <v>120</v>
      </c>
      <c r="D37">
        <v>0.4</v>
      </c>
      <c r="E37">
        <v>-1</v>
      </c>
      <c r="F37" t="s">
        <v>59</v>
      </c>
    </row>
    <row r="38" spans="1:6" x14ac:dyDescent="0.35">
      <c r="A38" t="s">
        <v>121</v>
      </c>
      <c r="B38" t="s">
        <v>122</v>
      </c>
      <c r="C38" t="s">
        <v>62</v>
      </c>
      <c r="D38">
        <v>0.53</v>
      </c>
      <c r="E38">
        <v>-2</v>
      </c>
      <c r="F38" t="s">
        <v>59</v>
      </c>
    </row>
    <row r="39" spans="1:6" x14ac:dyDescent="0.35">
      <c r="A39" t="s">
        <v>123</v>
      </c>
      <c r="B39" t="s">
        <v>124</v>
      </c>
      <c r="C39" t="s">
        <v>125</v>
      </c>
      <c r="D39">
        <v>0.41</v>
      </c>
      <c r="E39">
        <v>-36</v>
      </c>
      <c r="F39" t="s">
        <v>89</v>
      </c>
    </row>
    <row r="40" spans="1:6" x14ac:dyDescent="0.35">
      <c r="A40" t="s">
        <v>126</v>
      </c>
      <c r="B40" t="s">
        <v>127</v>
      </c>
      <c r="C40" t="s">
        <v>128</v>
      </c>
      <c r="D40">
        <v>0.38</v>
      </c>
      <c r="E40">
        <v>-2</v>
      </c>
      <c r="F40" t="s">
        <v>9</v>
      </c>
    </row>
    <row r="41" spans="1:6" x14ac:dyDescent="0.35">
      <c r="A41" t="s">
        <v>129</v>
      </c>
      <c r="B41" t="s">
        <v>130</v>
      </c>
      <c r="C41" t="s">
        <v>131</v>
      </c>
      <c r="D41">
        <v>0.38</v>
      </c>
      <c r="F41" t="s">
        <v>78</v>
      </c>
    </row>
    <row r="42" spans="1:6" x14ac:dyDescent="0.35">
      <c r="A42" t="s">
        <v>132</v>
      </c>
      <c r="B42" t="s">
        <v>133</v>
      </c>
      <c r="C42" t="s">
        <v>134</v>
      </c>
      <c r="D42">
        <v>0.49</v>
      </c>
      <c r="F42" t="s">
        <v>78</v>
      </c>
    </row>
    <row r="43" spans="1:6" x14ac:dyDescent="0.35">
      <c r="A43" t="s">
        <v>135</v>
      </c>
      <c r="B43" t="s">
        <v>136</v>
      </c>
      <c r="C43" t="s">
        <v>137</v>
      </c>
      <c r="D43">
        <v>0.5</v>
      </c>
      <c r="F43" t="s">
        <v>78</v>
      </c>
    </row>
    <row r="44" spans="1:6" x14ac:dyDescent="0.35">
      <c r="A44" t="s">
        <v>138</v>
      </c>
      <c r="B44" t="s">
        <v>139</v>
      </c>
      <c r="C44" t="s">
        <v>140</v>
      </c>
      <c r="D44">
        <v>0.42</v>
      </c>
      <c r="F44" t="s">
        <v>78</v>
      </c>
    </row>
    <row r="45" spans="1:6" x14ac:dyDescent="0.35">
      <c r="A45" t="s">
        <v>138</v>
      </c>
      <c r="B45" t="s">
        <v>139</v>
      </c>
      <c r="C45" t="s">
        <v>140</v>
      </c>
      <c r="D45">
        <v>0.42</v>
      </c>
      <c r="F45" t="s">
        <v>78</v>
      </c>
    </row>
    <row r="46" spans="1:6" x14ac:dyDescent="0.35">
      <c r="A46" t="s">
        <v>141</v>
      </c>
      <c r="B46" t="s">
        <v>142</v>
      </c>
      <c r="C46" t="s">
        <v>143</v>
      </c>
      <c r="D46">
        <v>0.02</v>
      </c>
      <c r="F46" t="s">
        <v>78</v>
      </c>
    </row>
    <row r="47" spans="1:6" x14ac:dyDescent="0.35">
      <c r="A47" t="s">
        <v>144</v>
      </c>
      <c r="B47" t="s">
        <v>12</v>
      </c>
      <c r="C47" t="s">
        <v>145</v>
      </c>
      <c r="D47">
        <v>0.5</v>
      </c>
      <c r="F47" t="s">
        <v>78</v>
      </c>
    </row>
    <row r="48" spans="1:6" x14ac:dyDescent="0.35">
      <c r="A48" t="s">
        <v>146</v>
      </c>
      <c r="B48" t="s">
        <v>147</v>
      </c>
      <c r="C48" t="s">
        <v>148</v>
      </c>
      <c r="D48">
        <v>0.33</v>
      </c>
      <c r="F48" t="s">
        <v>78</v>
      </c>
    </row>
    <row r="49" spans="1:6" x14ac:dyDescent="0.35">
      <c r="A49" t="s">
        <v>149</v>
      </c>
      <c r="B49" t="s">
        <v>150</v>
      </c>
      <c r="C49" t="s">
        <v>151</v>
      </c>
      <c r="D49">
        <v>0.49</v>
      </c>
      <c r="F49" t="s">
        <v>78</v>
      </c>
    </row>
    <row r="50" spans="1:6" x14ac:dyDescent="0.35">
      <c r="A50" t="s">
        <v>152</v>
      </c>
      <c r="B50" t="s">
        <v>153</v>
      </c>
      <c r="C50" t="s">
        <v>154</v>
      </c>
      <c r="D50">
        <v>0.38</v>
      </c>
      <c r="F50" t="s">
        <v>78</v>
      </c>
    </row>
    <row r="51" spans="1:6" x14ac:dyDescent="0.35">
      <c r="A51" t="s">
        <v>155</v>
      </c>
      <c r="B51" t="s">
        <v>156</v>
      </c>
      <c r="C51" t="s">
        <v>157</v>
      </c>
      <c r="D51">
        <v>0.61</v>
      </c>
      <c r="F51" t="s">
        <v>78</v>
      </c>
    </row>
    <row r="52" spans="1:6" x14ac:dyDescent="0.35">
      <c r="A52" t="s">
        <v>158</v>
      </c>
      <c r="B52" t="s">
        <v>159</v>
      </c>
      <c r="C52" t="s">
        <v>160</v>
      </c>
      <c r="D52">
        <v>0.5</v>
      </c>
      <c r="F52" t="s">
        <v>78</v>
      </c>
    </row>
    <row r="53" spans="1:6" x14ac:dyDescent="0.35">
      <c r="A53" t="s">
        <v>161</v>
      </c>
      <c r="B53" t="s">
        <v>162</v>
      </c>
      <c r="C53" t="s">
        <v>163</v>
      </c>
      <c r="D53">
        <v>0.02</v>
      </c>
      <c r="F53" t="s">
        <v>78</v>
      </c>
    </row>
    <row r="54" spans="1:6" x14ac:dyDescent="0.35">
      <c r="A54" t="s">
        <v>164</v>
      </c>
      <c r="B54" t="s">
        <v>159</v>
      </c>
      <c r="C54" t="s">
        <v>165</v>
      </c>
      <c r="D54">
        <v>0.22</v>
      </c>
      <c r="F54" t="s">
        <v>78</v>
      </c>
    </row>
    <row r="55" spans="1:6" x14ac:dyDescent="0.35">
      <c r="A55" t="s">
        <v>166</v>
      </c>
      <c r="B55" t="s">
        <v>167</v>
      </c>
      <c r="C55" t="s">
        <v>168</v>
      </c>
      <c r="D55">
        <v>0.03</v>
      </c>
      <c r="F55" t="s">
        <v>78</v>
      </c>
    </row>
    <row r="56" spans="1:6" x14ac:dyDescent="0.35">
      <c r="A56" t="s">
        <v>169</v>
      </c>
      <c r="B56" t="s">
        <v>43</v>
      </c>
      <c r="C56" t="s">
        <v>170</v>
      </c>
      <c r="D56">
        <v>0.41</v>
      </c>
      <c r="F56" t="s">
        <v>78</v>
      </c>
    </row>
    <row r="57" spans="1:6" x14ac:dyDescent="0.35">
      <c r="A57" t="s">
        <v>171</v>
      </c>
      <c r="B57" t="s">
        <v>172</v>
      </c>
      <c r="C57" t="s">
        <v>173</v>
      </c>
      <c r="D57">
        <v>0.45</v>
      </c>
      <c r="F57" t="s">
        <v>78</v>
      </c>
    </row>
    <row r="58" spans="1:6" x14ac:dyDescent="0.35">
      <c r="A58" t="s">
        <v>174</v>
      </c>
      <c r="B58" t="s">
        <v>175</v>
      </c>
      <c r="C58" t="s">
        <v>170</v>
      </c>
      <c r="D58">
        <v>0.48</v>
      </c>
      <c r="F58" t="s">
        <v>78</v>
      </c>
    </row>
    <row r="59" spans="1:6" x14ac:dyDescent="0.35">
      <c r="A59" t="s">
        <v>176</v>
      </c>
      <c r="B59" t="s">
        <v>43</v>
      </c>
      <c r="C59" t="s">
        <v>177</v>
      </c>
      <c r="D59">
        <v>0.49</v>
      </c>
      <c r="F59" t="s">
        <v>78</v>
      </c>
    </row>
    <row r="60" spans="1:6" x14ac:dyDescent="0.35">
      <c r="A60" t="s">
        <v>178</v>
      </c>
      <c r="B60" t="s">
        <v>179</v>
      </c>
      <c r="C60" t="s">
        <v>180</v>
      </c>
      <c r="D60">
        <v>0.27</v>
      </c>
      <c r="F60" t="s">
        <v>78</v>
      </c>
    </row>
    <row r="61" spans="1:6" x14ac:dyDescent="0.35">
      <c r="A61" t="s">
        <v>171</v>
      </c>
      <c r="B61" t="s">
        <v>181</v>
      </c>
      <c r="C61" t="s">
        <v>182</v>
      </c>
      <c r="D61">
        <v>0.55000000000000004</v>
      </c>
      <c r="F61" t="s">
        <v>78</v>
      </c>
    </row>
    <row r="62" spans="1:6" x14ac:dyDescent="0.35">
      <c r="A62" t="s">
        <v>183</v>
      </c>
      <c r="B62" t="s">
        <v>184</v>
      </c>
      <c r="C62" t="s">
        <v>185</v>
      </c>
      <c r="D62">
        <v>0.13</v>
      </c>
      <c r="E62">
        <v>-6</v>
      </c>
      <c r="F62" t="s">
        <v>186</v>
      </c>
    </row>
    <row r="63" spans="1:6" x14ac:dyDescent="0.35">
      <c r="A63" t="s">
        <v>187</v>
      </c>
      <c r="B63" t="s">
        <v>188</v>
      </c>
      <c r="C63" t="s">
        <v>189</v>
      </c>
      <c r="D63">
        <v>0.54</v>
      </c>
      <c r="E63">
        <v>-10</v>
      </c>
      <c r="F63" t="s">
        <v>190</v>
      </c>
    </row>
    <row r="64" spans="1:6" x14ac:dyDescent="0.35">
      <c r="A64" t="s">
        <v>191</v>
      </c>
      <c r="B64" t="s">
        <v>192</v>
      </c>
      <c r="C64" t="s">
        <v>193</v>
      </c>
      <c r="D64">
        <v>0.55000000000000004</v>
      </c>
      <c r="E64">
        <v>-13</v>
      </c>
      <c r="F64" t="s">
        <v>194</v>
      </c>
    </row>
    <row r="65" spans="1:6" x14ac:dyDescent="0.35">
      <c r="A65" t="s">
        <v>195</v>
      </c>
      <c r="B65" t="s">
        <v>196</v>
      </c>
      <c r="C65" t="s">
        <v>197</v>
      </c>
      <c r="D65">
        <v>0.49</v>
      </c>
      <c r="E65">
        <v>-69</v>
      </c>
      <c r="F65" t="s">
        <v>198</v>
      </c>
    </row>
    <row r="66" spans="1:6" x14ac:dyDescent="0.35">
      <c r="A66" t="s">
        <v>199</v>
      </c>
      <c r="B66" t="s">
        <v>200</v>
      </c>
      <c r="C66" t="s">
        <v>201</v>
      </c>
      <c r="D66">
        <v>0.52</v>
      </c>
      <c r="E66">
        <v>-15</v>
      </c>
      <c r="F66" t="s">
        <v>202</v>
      </c>
    </row>
    <row r="67" spans="1:6" x14ac:dyDescent="0.35">
      <c r="A67" t="s">
        <v>203</v>
      </c>
      <c r="B67" t="s">
        <v>204</v>
      </c>
      <c r="C67" t="s">
        <v>205</v>
      </c>
      <c r="D67">
        <v>0.22</v>
      </c>
      <c r="E67">
        <v>-16</v>
      </c>
      <c r="F67" t="s">
        <v>206</v>
      </c>
    </row>
    <row r="68" spans="1:6" x14ac:dyDescent="0.35">
      <c r="A68" t="s">
        <v>207</v>
      </c>
      <c r="B68" t="s">
        <v>45</v>
      </c>
      <c r="C68" t="s">
        <v>208</v>
      </c>
      <c r="D68">
        <v>0.45</v>
      </c>
      <c r="E68">
        <v>-6</v>
      </c>
      <c r="F68" t="s">
        <v>209</v>
      </c>
    </row>
    <row r="69" spans="1:6" x14ac:dyDescent="0.35">
      <c r="A69" t="s">
        <v>210</v>
      </c>
      <c r="B69" t="s">
        <v>211</v>
      </c>
      <c r="C69" t="s">
        <v>145</v>
      </c>
      <c r="D69">
        <v>0.5</v>
      </c>
      <c r="E69">
        <v>-7</v>
      </c>
      <c r="F69" t="s">
        <v>212</v>
      </c>
    </row>
    <row r="70" spans="1:6" x14ac:dyDescent="0.35">
      <c r="A70" t="s">
        <v>213</v>
      </c>
      <c r="B70" t="s">
        <v>214</v>
      </c>
      <c r="C70" t="s">
        <v>215</v>
      </c>
      <c r="D70">
        <v>0.39</v>
      </c>
      <c r="E70">
        <v>-5</v>
      </c>
      <c r="F70" t="s">
        <v>190</v>
      </c>
    </row>
    <row r="71" spans="1:6" x14ac:dyDescent="0.35">
      <c r="A71" t="s">
        <v>216</v>
      </c>
      <c r="B71" t="s">
        <v>105</v>
      </c>
      <c r="C71" t="s">
        <v>217</v>
      </c>
      <c r="D71">
        <v>0.45</v>
      </c>
      <c r="E71">
        <v>-17</v>
      </c>
      <c r="F71" t="s">
        <v>218</v>
      </c>
    </row>
    <row r="72" spans="1:6" x14ac:dyDescent="0.35">
      <c r="A72" t="s">
        <v>219</v>
      </c>
      <c r="B72" t="s">
        <v>220</v>
      </c>
      <c r="C72" t="s">
        <v>221</v>
      </c>
      <c r="D72">
        <v>0.28999999999999998</v>
      </c>
      <c r="E72">
        <v>-5</v>
      </c>
      <c r="F72" t="s">
        <v>190</v>
      </c>
    </row>
    <row r="73" spans="1:6" x14ac:dyDescent="0.35">
      <c r="A73" t="s">
        <v>222</v>
      </c>
      <c r="B73" t="s">
        <v>223</v>
      </c>
      <c r="C73" t="s">
        <v>224</v>
      </c>
      <c r="D73">
        <v>0.43</v>
      </c>
      <c r="E73">
        <v>-6</v>
      </c>
      <c r="F73" t="s">
        <v>212</v>
      </c>
    </row>
    <row r="74" spans="1:6" x14ac:dyDescent="0.35">
      <c r="A74" t="s">
        <v>225</v>
      </c>
      <c r="B74" t="s">
        <v>226</v>
      </c>
      <c r="C74" t="s">
        <v>227</v>
      </c>
      <c r="D74">
        <v>0.43</v>
      </c>
      <c r="E74">
        <v>-5</v>
      </c>
      <c r="F74" t="s">
        <v>190</v>
      </c>
    </row>
    <row r="75" spans="1:6" x14ac:dyDescent="0.35">
      <c r="A75" t="s">
        <v>228</v>
      </c>
      <c r="B75" t="s">
        <v>229</v>
      </c>
      <c r="C75" t="s">
        <v>208</v>
      </c>
      <c r="D75">
        <v>0.47</v>
      </c>
      <c r="E75">
        <v>-6</v>
      </c>
      <c r="F75" t="s">
        <v>209</v>
      </c>
    </row>
    <row r="76" spans="1:6" x14ac:dyDescent="0.35">
      <c r="A76" t="s">
        <v>230</v>
      </c>
      <c r="B76" t="s">
        <v>231</v>
      </c>
      <c r="C76" t="s">
        <v>232</v>
      </c>
      <c r="D76">
        <v>0.47</v>
      </c>
      <c r="E76">
        <v>-7</v>
      </c>
      <c r="F76" t="s">
        <v>194</v>
      </c>
    </row>
    <row r="77" spans="1:6" x14ac:dyDescent="0.35">
      <c r="A77" t="s">
        <v>233</v>
      </c>
      <c r="B77" t="s">
        <v>234</v>
      </c>
      <c r="C77" t="s">
        <v>235</v>
      </c>
      <c r="D77">
        <v>0.47</v>
      </c>
      <c r="F77" t="s">
        <v>78</v>
      </c>
    </row>
    <row r="78" spans="1:6" x14ac:dyDescent="0.35">
      <c r="A78" t="s">
        <v>236</v>
      </c>
      <c r="B78" t="s">
        <v>237</v>
      </c>
      <c r="C78" t="s">
        <v>153</v>
      </c>
      <c r="D78">
        <v>0.43</v>
      </c>
      <c r="F78" t="s">
        <v>78</v>
      </c>
    </row>
    <row r="79" spans="1:6" x14ac:dyDescent="0.35">
      <c r="A79" t="s">
        <v>238</v>
      </c>
      <c r="B79" t="s">
        <v>239</v>
      </c>
      <c r="C79" t="s">
        <v>240</v>
      </c>
      <c r="D79">
        <v>0.04</v>
      </c>
      <c r="F79" t="s">
        <v>78</v>
      </c>
    </row>
    <row r="80" spans="1:6" x14ac:dyDescent="0.35">
      <c r="A80" t="s">
        <v>241</v>
      </c>
      <c r="B80" t="s">
        <v>242</v>
      </c>
      <c r="C80" t="s">
        <v>243</v>
      </c>
      <c r="D80">
        <v>0.49</v>
      </c>
      <c r="F80" t="s">
        <v>78</v>
      </c>
    </row>
    <row r="81" spans="1:6" x14ac:dyDescent="0.35">
      <c r="A81" t="s">
        <v>244</v>
      </c>
      <c r="B81" t="s">
        <v>245</v>
      </c>
      <c r="C81" t="s">
        <v>15</v>
      </c>
      <c r="D81">
        <v>0.46</v>
      </c>
      <c r="E81">
        <v>-1</v>
      </c>
      <c r="F81" t="s">
        <v>190</v>
      </c>
    </row>
    <row r="82" spans="1:6" x14ac:dyDescent="0.35">
      <c r="A82" t="s">
        <v>246</v>
      </c>
      <c r="B82" t="s">
        <v>247</v>
      </c>
      <c r="C82" t="s">
        <v>248</v>
      </c>
      <c r="D82">
        <v>0.49</v>
      </c>
      <c r="E82">
        <v>-1</v>
      </c>
      <c r="F82" t="s">
        <v>59</v>
      </c>
    </row>
    <row r="83" spans="1:6" x14ac:dyDescent="0.35">
      <c r="A83" t="s">
        <v>249</v>
      </c>
      <c r="B83" t="s">
        <v>250</v>
      </c>
      <c r="C83" t="s">
        <v>251</v>
      </c>
      <c r="D83">
        <v>0.36</v>
      </c>
      <c r="F83" t="s">
        <v>78</v>
      </c>
    </row>
    <row r="84" spans="1:6" x14ac:dyDescent="0.35">
      <c r="A84" t="s">
        <v>252</v>
      </c>
      <c r="B84" t="s">
        <v>253</v>
      </c>
      <c r="C84" t="s">
        <v>163</v>
      </c>
      <c r="D84">
        <v>0.02</v>
      </c>
      <c r="F84" t="s">
        <v>78</v>
      </c>
    </row>
    <row r="85" spans="1:6" x14ac:dyDescent="0.35">
      <c r="A85" t="s">
        <v>254</v>
      </c>
      <c r="B85" t="s">
        <v>255</v>
      </c>
      <c r="C85" t="s">
        <v>92</v>
      </c>
      <c r="D85">
        <v>0.49</v>
      </c>
      <c r="E85">
        <v>-1</v>
      </c>
      <c r="F85" t="s">
        <v>29</v>
      </c>
    </row>
    <row r="86" spans="1:6" x14ac:dyDescent="0.35">
      <c r="A86" t="s">
        <v>138</v>
      </c>
      <c r="B86" t="s">
        <v>139</v>
      </c>
      <c r="C86" t="s">
        <v>140</v>
      </c>
      <c r="D86">
        <v>0.42</v>
      </c>
      <c r="F86" t="s">
        <v>78</v>
      </c>
    </row>
    <row r="87" spans="1:6" x14ac:dyDescent="0.35">
      <c r="A87" t="s">
        <v>155</v>
      </c>
      <c r="B87" t="s">
        <v>256</v>
      </c>
      <c r="C87" t="s">
        <v>223</v>
      </c>
      <c r="D87">
        <v>0.49</v>
      </c>
      <c r="F87" t="s">
        <v>78</v>
      </c>
    </row>
    <row r="88" spans="1:6" x14ac:dyDescent="0.35">
      <c r="A88" t="s">
        <v>257</v>
      </c>
      <c r="B88" t="s">
        <v>258</v>
      </c>
      <c r="C88" t="s">
        <v>163</v>
      </c>
      <c r="D88">
        <v>0.14000000000000001</v>
      </c>
      <c r="F88" t="s">
        <v>78</v>
      </c>
    </row>
    <row r="89" spans="1:6" x14ac:dyDescent="0.35">
      <c r="A89" t="s">
        <v>259</v>
      </c>
      <c r="B89" t="s">
        <v>260</v>
      </c>
      <c r="C89" t="s">
        <v>261</v>
      </c>
      <c r="D89">
        <v>0.49</v>
      </c>
      <c r="F89" t="s">
        <v>78</v>
      </c>
    </row>
    <row r="90" spans="1:6" x14ac:dyDescent="0.35">
      <c r="A90" t="s">
        <v>262</v>
      </c>
      <c r="B90" t="s">
        <v>43</v>
      </c>
      <c r="C90" t="s">
        <v>173</v>
      </c>
      <c r="D90">
        <v>0.11</v>
      </c>
      <c r="F90" t="s">
        <v>78</v>
      </c>
    </row>
    <row r="91" spans="1:6" x14ac:dyDescent="0.35">
      <c r="A91" t="s">
        <v>176</v>
      </c>
      <c r="B91" t="s">
        <v>263</v>
      </c>
      <c r="C91" t="s">
        <v>264</v>
      </c>
      <c r="D91">
        <v>0.49</v>
      </c>
      <c r="F91" t="s">
        <v>78</v>
      </c>
    </row>
    <row r="92" spans="1:6" x14ac:dyDescent="0.35">
      <c r="A92" t="s">
        <v>265</v>
      </c>
      <c r="B92" t="s">
        <v>266</v>
      </c>
      <c r="C92" t="s">
        <v>163</v>
      </c>
      <c r="D92">
        <v>0.14000000000000001</v>
      </c>
      <c r="F92" t="s">
        <v>78</v>
      </c>
    </row>
    <row r="93" spans="1:6" x14ac:dyDescent="0.35">
      <c r="A93" t="s">
        <v>267</v>
      </c>
      <c r="B93" t="s">
        <v>268</v>
      </c>
      <c r="C93" t="s">
        <v>269</v>
      </c>
      <c r="D93">
        <v>0.43</v>
      </c>
      <c r="F93" t="s">
        <v>78</v>
      </c>
    </row>
    <row r="94" spans="1:6" x14ac:dyDescent="0.35">
      <c r="A94" t="s">
        <v>270</v>
      </c>
      <c r="B94" t="s">
        <v>271</v>
      </c>
      <c r="C94" t="s">
        <v>272</v>
      </c>
      <c r="D94">
        <v>0.5</v>
      </c>
      <c r="F94" t="s">
        <v>78</v>
      </c>
    </row>
    <row r="95" spans="1:6" x14ac:dyDescent="0.35">
      <c r="A95" t="s">
        <v>273</v>
      </c>
      <c r="B95" t="s">
        <v>274</v>
      </c>
      <c r="C95" t="s">
        <v>185</v>
      </c>
      <c r="D95">
        <v>0.48</v>
      </c>
      <c r="F95" t="s">
        <v>78</v>
      </c>
    </row>
    <row r="96" spans="1:6" x14ac:dyDescent="0.35">
      <c r="A96" t="s">
        <v>275</v>
      </c>
      <c r="B96" t="s">
        <v>276</v>
      </c>
      <c r="C96" t="s">
        <v>277</v>
      </c>
      <c r="D96">
        <v>0.48</v>
      </c>
      <c r="F96" t="s">
        <v>78</v>
      </c>
    </row>
    <row r="97" spans="1:6" x14ac:dyDescent="0.35">
      <c r="A97" t="s">
        <v>278</v>
      </c>
      <c r="B97" t="s">
        <v>227</v>
      </c>
      <c r="C97" t="s">
        <v>163</v>
      </c>
      <c r="D97">
        <v>0.47</v>
      </c>
      <c r="F97" t="s">
        <v>78</v>
      </c>
    </row>
    <row r="98" spans="1:6" x14ac:dyDescent="0.35">
      <c r="A98" t="s">
        <v>278</v>
      </c>
      <c r="B98" t="s">
        <v>227</v>
      </c>
      <c r="C98" t="s">
        <v>163</v>
      </c>
      <c r="D98">
        <v>0.47</v>
      </c>
      <c r="F98" t="s">
        <v>78</v>
      </c>
    </row>
    <row r="99" spans="1:6" x14ac:dyDescent="0.35">
      <c r="A99" t="s">
        <v>279</v>
      </c>
      <c r="B99" t="s">
        <v>153</v>
      </c>
      <c r="C99" t="s">
        <v>280</v>
      </c>
      <c r="D99">
        <v>0.5</v>
      </c>
      <c r="F99" t="s">
        <v>78</v>
      </c>
    </row>
    <row r="100" spans="1:6" x14ac:dyDescent="0.35">
      <c r="A100" t="s">
        <v>281</v>
      </c>
      <c r="B100" t="s">
        <v>282</v>
      </c>
      <c r="C100" t="s">
        <v>162</v>
      </c>
      <c r="D100">
        <v>0.08</v>
      </c>
      <c r="F100" t="s">
        <v>78</v>
      </c>
    </row>
    <row r="101" spans="1:6" x14ac:dyDescent="0.35">
      <c r="A101" t="s">
        <v>283</v>
      </c>
      <c r="B101" t="s">
        <v>284</v>
      </c>
      <c r="C101" t="s">
        <v>168</v>
      </c>
      <c r="D101">
        <v>0.02</v>
      </c>
      <c r="F101" t="s">
        <v>78</v>
      </c>
    </row>
    <row r="102" spans="1:6" x14ac:dyDescent="0.35">
      <c r="A102" t="s">
        <v>285</v>
      </c>
      <c r="B102" t="s">
        <v>286</v>
      </c>
      <c r="C102" t="s">
        <v>287</v>
      </c>
      <c r="D102">
        <v>0.49</v>
      </c>
      <c r="F102" t="s">
        <v>78</v>
      </c>
    </row>
    <row r="103" spans="1:6" x14ac:dyDescent="0.35">
      <c r="A103" t="s">
        <v>288</v>
      </c>
      <c r="B103" t="s">
        <v>289</v>
      </c>
      <c r="C103" t="s">
        <v>67</v>
      </c>
      <c r="D103">
        <v>0.04</v>
      </c>
      <c r="F103" t="s">
        <v>78</v>
      </c>
    </row>
    <row r="104" spans="1:6" x14ac:dyDescent="0.35">
      <c r="A104" t="s">
        <v>290</v>
      </c>
      <c r="B104" t="s">
        <v>291</v>
      </c>
      <c r="C104" t="s">
        <v>292</v>
      </c>
      <c r="D104">
        <v>0.49</v>
      </c>
      <c r="F104" t="s">
        <v>78</v>
      </c>
    </row>
    <row r="105" spans="1:6" x14ac:dyDescent="0.35">
      <c r="A105" t="s">
        <v>293</v>
      </c>
      <c r="B105" t="s">
        <v>294</v>
      </c>
      <c r="C105" t="s">
        <v>295</v>
      </c>
      <c r="D105">
        <v>0.42</v>
      </c>
      <c r="F105" t="s">
        <v>78</v>
      </c>
    </row>
    <row r="106" spans="1:6" x14ac:dyDescent="0.35">
      <c r="A106" t="s">
        <v>296</v>
      </c>
      <c r="B106" t="s">
        <v>297</v>
      </c>
      <c r="C106" t="s">
        <v>298</v>
      </c>
      <c r="D106">
        <v>0.21</v>
      </c>
      <c r="E106">
        <v>-1</v>
      </c>
      <c r="F106" t="s">
        <v>59</v>
      </c>
    </row>
    <row r="107" spans="1:6" x14ac:dyDescent="0.35">
      <c r="A107" t="s">
        <v>299</v>
      </c>
      <c r="B107" t="s">
        <v>300</v>
      </c>
      <c r="C107" t="s">
        <v>301</v>
      </c>
      <c r="D107">
        <v>0.41</v>
      </c>
      <c r="F107" t="s">
        <v>78</v>
      </c>
    </row>
    <row r="108" spans="1:6" x14ac:dyDescent="0.35">
      <c r="A108" t="s">
        <v>302</v>
      </c>
      <c r="B108" t="s">
        <v>303</v>
      </c>
      <c r="C108" t="s">
        <v>304</v>
      </c>
      <c r="D108">
        <v>0.01</v>
      </c>
      <c r="F108" t="s">
        <v>78</v>
      </c>
    </row>
    <row r="109" spans="1:6" x14ac:dyDescent="0.35">
      <c r="A109" t="s">
        <v>305</v>
      </c>
      <c r="B109" t="s">
        <v>306</v>
      </c>
      <c r="C109" t="s">
        <v>307</v>
      </c>
      <c r="D109">
        <v>0.24</v>
      </c>
      <c r="F109" t="s">
        <v>78</v>
      </c>
    </row>
    <row r="110" spans="1:6" x14ac:dyDescent="0.35">
      <c r="A110" t="s">
        <v>308</v>
      </c>
      <c r="B110" t="s">
        <v>309</v>
      </c>
      <c r="C110" t="s">
        <v>310</v>
      </c>
      <c r="D110">
        <v>0.34</v>
      </c>
      <c r="F110" t="s">
        <v>78</v>
      </c>
    </row>
    <row r="111" spans="1:6" x14ac:dyDescent="0.35">
      <c r="A111" t="s">
        <v>311</v>
      </c>
      <c r="B111" t="s">
        <v>147</v>
      </c>
      <c r="C111" t="s">
        <v>312</v>
      </c>
      <c r="D111">
        <v>0.34</v>
      </c>
      <c r="F111" t="s">
        <v>78</v>
      </c>
    </row>
    <row r="112" spans="1:6" x14ac:dyDescent="0.35">
      <c r="A112" t="s">
        <v>313</v>
      </c>
      <c r="B112" t="s">
        <v>314</v>
      </c>
      <c r="C112" t="s">
        <v>163</v>
      </c>
      <c r="D112">
        <v>0.02</v>
      </c>
      <c r="F112" t="s">
        <v>78</v>
      </c>
    </row>
    <row r="113" spans="1:6" x14ac:dyDescent="0.35">
      <c r="A113" t="s">
        <v>315</v>
      </c>
      <c r="B113" t="s">
        <v>316</v>
      </c>
      <c r="C113" t="s">
        <v>240</v>
      </c>
      <c r="D113">
        <v>0.02</v>
      </c>
      <c r="F113" t="s">
        <v>78</v>
      </c>
    </row>
    <row r="114" spans="1:6" x14ac:dyDescent="0.35">
      <c r="A114" t="s">
        <v>317</v>
      </c>
      <c r="B114" t="s">
        <v>156</v>
      </c>
      <c r="C114" t="s">
        <v>318</v>
      </c>
      <c r="D114">
        <v>0.64</v>
      </c>
      <c r="F114" t="s">
        <v>78</v>
      </c>
    </row>
    <row r="115" spans="1:6" x14ac:dyDescent="0.35">
      <c r="A115" t="s">
        <v>319</v>
      </c>
      <c r="B115" t="s">
        <v>243</v>
      </c>
      <c r="C115" t="s">
        <v>173</v>
      </c>
      <c r="D115">
        <v>0.5</v>
      </c>
      <c r="E115">
        <v>-1</v>
      </c>
      <c r="F115" t="s">
        <v>320</v>
      </c>
    </row>
    <row r="116" spans="1:6" x14ac:dyDescent="0.35">
      <c r="A116" t="s">
        <v>321</v>
      </c>
      <c r="B116" t="s">
        <v>322</v>
      </c>
      <c r="C116" t="s">
        <v>323</v>
      </c>
      <c r="D116">
        <v>0.47</v>
      </c>
      <c r="F116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498B-6E38-46CA-8684-95BEEAD1E8E5}">
  <dimension ref="A1:K117"/>
  <sheetViews>
    <sheetView workbookViewId="0">
      <pane ySplit="1" topLeftCell="A96" activePane="bottomLeft" state="frozen"/>
      <selection pane="bottomLeft" activeCell="A119" sqref="A119"/>
    </sheetView>
  </sheetViews>
  <sheetFormatPr defaultRowHeight="14.5" x14ac:dyDescent="0.35"/>
  <cols>
    <col min="1" max="1" width="89.1796875" bestFit="1" customWidth="1"/>
    <col min="2" max="2" width="14.08984375" style="1" bestFit="1" customWidth="1"/>
    <col min="3" max="3" width="10.26953125" style="1" bestFit="1" customWidth="1"/>
    <col min="4" max="4" width="9.1796875" style="1" bestFit="1" customWidth="1"/>
    <col min="5" max="5" width="10.453125" bestFit="1" customWidth="1"/>
    <col min="6" max="6" width="12.36328125" bestFit="1" customWidth="1"/>
    <col min="7" max="7" width="9" bestFit="1" customWidth="1"/>
    <col min="8" max="8" width="13.36328125" bestFit="1" customWidth="1"/>
    <col min="9" max="9" width="11.81640625" bestFit="1" customWidth="1"/>
    <col min="10" max="10" width="22.6328125" bestFit="1" customWidth="1"/>
    <col min="11" max="11" width="24" bestFit="1" customWidth="1"/>
  </cols>
  <sheetData>
    <row r="1" spans="1:11" x14ac:dyDescent="0.35">
      <c r="A1" t="s">
        <v>0</v>
      </c>
      <c r="B1" s="1" t="s">
        <v>1</v>
      </c>
      <c r="C1" s="1" t="s">
        <v>2</v>
      </c>
      <c r="D1" s="1" t="s">
        <v>325</v>
      </c>
      <c r="E1" t="s">
        <v>3</v>
      </c>
      <c r="F1" t="s">
        <v>324</v>
      </c>
      <c r="G1" t="s">
        <v>4</v>
      </c>
      <c r="H1" t="s">
        <v>326</v>
      </c>
      <c r="I1" t="s">
        <v>349</v>
      </c>
      <c r="J1" t="s">
        <v>347</v>
      </c>
      <c r="K1" t="s">
        <v>348</v>
      </c>
    </row>
    <row r="2" spans="1:11" x14ac:dyDescent="0.35">
      <c r="A2" t="s">
        <v>6</v>
      </c>
      <c r="B2" s="1">
        <v>950</v>
      </c>
      <c r="C2" s="1">
        <v>1525</v>
      </c>
      <c r="D2" s="1">
        <f>C2-B2</f>
        <v>575</v>
      </c>
      <c r="E2">
        <v>0.38</v>
      </c>
      <c r="F2">
        <f>E2*100</f>
        <v>38</v>
      </c>
      <c r="G2">
        <v>2</v>
      </c>
      <c r="H2" t="str">
        <f>IF(ISBLANK(G2),"NO","YES")</f>
        <v>YES</v>
      </c>
      <c r="I2">
        <v>4.5</v>
      </c>
      <c r="J2">
        <f>IF(AND(I2&lt;&gt;"", I2&gt;=DASHBOARD!$B$16), G2+ROW()/100000, "")</f>
        <v>2.0000200000000001</v>
      </c>
      <c r="K2" t="str">
        <f>IF(AND(F2&gt;=DASHBOARD!$B$31,OR(G2="",G2&lt;=DASHBOARD!$E$31)),F2+ROW()/100000,"")</f>
        <v/>
      </c>
    </row>
    <row r="3" spans="1:11" x14ac:dyDescent="0.35">
      <c r="A3" t="s">
        <v>10</v>
      </c>
      <c r="B3" s="1">
        <v>527</v>
      </c>
      <c r="C3" s="1">
        <v>999</v>
      </c>
      <c r="D3" s="1">
        <f t="shared" ref="D3:D66" si="0">C3-B3</f>
        <v>472</v>
      </c>
      <c r="E3">
        <v>0.47</v>
      </c>
      <c r="F3">
        <f t="shared" ref="F3:F66" si="1">E3*100</f>
        <v>47</v>
      </c>
      <c r="G3">
        <v>14</v>
      </c>
      <c r="H3" t="str">
        <f t="shared" ref="H3:H66" si="2">IF(ISBLANK(G3),"NO","YES")</f>
        <v>YES</v>
      </c>
      <c r="I3">
        <v>4.0999999999999996</v>
      </c>
      <c r="J3" t="str">
        <f>IF(AND(I3&lt;&gt;"", I3&gt;=DASHBOARD!$B$16), G3+ROW()/100000, "")</f>
        <v/>
      </c>
      <c r="K3" t="str">
        <f>IF(AND(F3&gt;=DASHBOARD!$B$31,OR(G3="",G3&lt;=DASHBOARD!$E$31)),F3+ROW()/100000,"")</f>
        <v/>
      </c>
    </row>
    <row r="4" spans="1:11" x14ac:dyDescent="0.35">
      <c r="A4" t="s">
        <v>14</v>
      </c>
      <c r="B4" s="1">
        <v>2199</v>
      </c>
      <c r="C4" s="1">
        <v>2923</v>
      </c>
      <c r="D4" s="1">
        <f t="shared" si="0"/>
        <v>724</v>
      </c>
      <c r="E4">
        <v>0.25</v>
      </c>
      <c r="F4">
        <f>E4*100</f>
        <v>25</v>
      </c>
      <c r="G4">
        <v>24</v>
      </c>
      <c r="H4" t="str">
        <f t="shared" si="2"/>
        <v>YES</v>
      </c>
      <c r="I4">
        <v>4.5999999999999996</v>
      </c>
      <c r="J4">
        <f>IF(AND(I4&lt;&gt;"", I4&gt;=DASHBOARD!$B$16), G4+ROW()/100000, "")</f>
        <v>24.000039999999998</v>
      </c>
      <c r="K4" t="str">
        <f>IF(AND(F4&gt;=DASHBOARD!$B$31,OR(G4="",G4&lt;=DASHBOARD!$E$31)),F4+ROW()/100000,"")</f>
        <v/>
      </c>
    </row>
    <row r="5" spans="1:11" x14ac:dyDescent="0.35">
      <c r="A5" t="s">
        <v>18</v>
      </c>
      <c r="B5" s="1">
        <v>1580</v>
      </c>
      <c r="C5" s="1">
        <v>2499</v>
      </c>
      <c r="D5" s="1">
        <f t="shared" si="0"/>
        <v>919</v>
      </c>
      <c r="E5">
        <v>0.37</v>
      </c>
      <c r="F5">
        <f t="shared" si="1"/>
        <v>37</v>
      </c>
      <c r="G5">
        <v>7</v>
      </c>
      <c r="H5" t="str">
        <f t="shared" si="2"/>
        <v>YES</v>
      </c>
      <c r="I5">
        <v>4.7</v>
      </c>
      <c r="J5">
        <f>IF(AND(I5&lt;&gt;"", I5&gt;=DASHBOARD!$B$16), G5+ROW()/100000, "")</f>
        <v>7.0000499999999999</v>
      </c>
      <c r="K5" t="str">
        <f>IF(AND(F5&gt;=DASHBOARD!$B$31,OR(G5="",G5&lt;=DASHBOARD!$E$31)),F5+ROW()/100000,"")</f>
        <v/>
      </c>
    </row>
    <row r="6" spans="1:11" x14ac:dyDescent="0.35">
      <c r="A6" t="s">
        <v>22</v>
      </c>
      <c r="B6" s="1">
        <v>1740</v>
      </c>
      <c r="C6" s="1">
        <v>2356</v>
      </c>
      <c r="D6" s="1">
        <f t="shared" si="0"/>
        <v>616</v>
      </c>
      <c r="E6">
        <v>0.26</v>
      </c>
      <c r="F6">
        <f t="shared" si="1"/>
        <v>26</v>
      </c>
      <c r="G6">
        <v>5</v>
      </c>
      <c r="H6" t="str">
        <f t="shared" si="2"/>
        <v>YES</v>
      </c>
      <c r="I6">
        <v>4.8</v>
      </c>
      <c r="J6">
        <f>IF(AND(I6&lt;&gt;"", I6&gt;=DASHBOARD!$B$16), G6+ROW()/100000, "")</f>
        <v>5.0000600000000004</v>
      </c>
      <c r="K6" t="str">
        <f>IF(AND(F6&gt;=DASHBOARD!$B$31,OR(G6="",G6&lt;=DASHBOARD!$E$31)),F6+ROW()/100000,"")</f>
        <v/>
      </c>
    </row>
    <row r="7" spans="1:11" x14ac:dyDescent="0.35">
      <c r="A7" t="s">
        <v>26</v>
      </c>
      <c r="B7" s="1">
        <v>2999</v>
      </c>
      <c r="C7" s="1">
        <v>3290</v>
      </c>
      <c r="D7" s="1">
        <f t="shared" si="0"/>
        <v>291</v>
      </c>
      <c r="E7">
        <v>0.09</v>
      </c>
      <c r="F7">
        <f t="shared" si="1"/>
        <v>9</v>
      </c>
      <c r="G7">
        <v>15</v>
      </c>
      <c r="H7" t="str">
        <f t="shared" si="2"/>
        <v>YES</v>
      </c>
      <c r="I7">
        <v>4</v>
      </c>
      <c r="J7" t="str">
        <f>IF(AND(I7&lt;&gt;"", I7&gt;=DASHBOARD!$B$16), G7+ROW()/100000, "")</f>
        <v/>
      </c>
      <c r="K7" t="str">
        <f>IF(AND(F7&gt;=DASHBOARD!$B$31,OR(G7="",G7&lt;=DASHBOARD!$E$31)),F7+ROW()/100000,"")</f>
        <v/>
      </c>
    </row>
    <row r="8" spans="1:11" x14ac:dyDescent="0.35">
      <c r="A8" t="s">
        <v>30</v>
      </c>
      <c r="B8" s="1">
        <v>2319</v>
      </c>
      <c r="C8" s="1">
        <v>3032</v>
      </c>
      <c r="D8" s="1">
        <f t="shared" si="0"/>
        <v>713</v>
      </c>
      <c r="E8">
        <v>0.24</v>
      </c>
      <c r="F8">
        <f t="shared" si="1"/>
        <v>24</v>
      </c>
      <c r="G8">
        <v>55</v>
      </c>
      <c r="H8" t="str">
        <f t="shared" si="2"/>
        <v>YES</v>
      </c>
      <c r="I8">
        <v>4.5999999999999996</v>
      </c>
      <c r="J8">
        <f>IF(AND(I8&lt;&gt;"", I8&gt;=DASHBOARD!$B$16), G8+ROW()/100000, "")</f>
        <v>55.000079999999997</v>
      </c>
      <c r="K8" t="str">
        <f>IF(AND(F8&gt;=DASHBOARD!$B$31,OR(G8="",G8&lt;=DASHBOARD!$E$31)),F8+ROW()/100000,"")</f>
        <v/>
      </c>
    </row>
    <row r="9" spans="1:11" x14ac:dyDescent="0.35">
      <c r="A9" t="s">
        <v>33</v>
      </c>
      <c r="B9" s="1">
        <v>988</v>
      </c>
      <c r="C9" s="1">
        <v>1580</v>
      </c>
      <c r="D9" s="1">
        <f t="shared" si="0"/>
        <v>592</v>
      </c>
      <c r="E9">
        <v>0.37</v>
      </c>
      <c r="F9">
        <f t="shared" si="1"/>
        <v>37</v>
      </c>
      <c r="G9">
        <v>2</v>
      </c>
      <c r="H9" t="str">
        <f t="shared" si="2"/>
        <v>YES</v>
      </c>
      <c r="I9">
        <v>4</v>
      </c>
      <c r="J9" t="str">
        <f>IF(AND(I9&lt;&gt;"", I9&gt;=DASHBOARD!$B$16), G9+ROW()/100000, "")</f>
        <v/>
      </c>
      <c r="K9" t="str">
        <f>IF(AND(F9&gt;=DASHBOARD!$B$31,OR(G9="",G9&lt;=DASHBOARD!$E$31)),F9+ROW()/100000,"")</f>
        <v/>
      </c>
    </row>
    <row r="10" spans="1:11" x14ac:dyDescent="0.35">
      <c r="A10" t="s">
        <v>35</v>
      </c>
      <c r="B10" s="1">
        <v>1274</v>
      </c>
      <c r="C10" s="1">
        <v>2800</v>
      </c>
      <c r="D10" s="1">
        <f t="shared" si="0"/>
        <v>1526</v>
      </c>
      <c r="E10">
        <v>0.55000000000000004</v>
      </c>
      <c r="F10">
        <f t="shared" si="1"/>
        <v>55.000000000000007</v>
      </c>
      <c r="G10">
        <v>5</v>
      </c>
      <c r="H10" t="str">
        <f t="shared" si="2"/>
        <v>YES</v>
      </c>
      <c r="I10">
        <v>4.8</v>
      </c>
      <c r="J10">
        <f>IF(AND(I10&lt;&gt;"", I10&gt;=DASHBOARD!$B$16), G10+ROW()/100000, "")</f>
        <v>5.0000999999999998</v>
      </c>
      <c r="K10" t="str">
        <f>IF(AND(F10&gt;=DASHBOARD!$B$31,OR(G10="",G10&lt;=DASHBOARD!$E$31)),F10+ROW()/100000,"")</f>
        <v/>
      </c>
    </row>
    <row r="11" spans="1:11" x14ac:dyDescent="0.35">
      <c r="A11" t="s">
        <v>38</v>
      </c>
      <c r="B11" s="1">
        <v>1600</v>
      </c>
      <c r="C11" s="1">
        <v>2929</v>
      </c>
      <c r="D11" s="1">
        <f t="shared" si="0"/>
        <v>1329</v>
      </c>
      <c r="E11">
        <v>0.45</v>
      </c>
      <c r="F11">
        <f t="shared" si="1"/>
        <v>45</v>
      </c>
      <c r="G11">
        <v>5</v>
      </c>
      <c r="H11" t="str">
        <f t="shared" si="2"/>
        <v>YES</v>
      </c>
      <c r="I11">
        <v>3.8</v>
      </c>
      <c r="J11" t="str">
        <f>IF(AND(I11&lt;&gt;"", I11&gt;=DASHBOARD!$B$16), G11+ROW()/100000, "")</f>
        <v/>
      </c>
      <c r="K11" t="str">
        <f>IF(AND(F11&gt;=DASHBOARD!$B$31,OR(G11="",G11&lt;=DASHBOARD!$E$31)),F11+ROW()/100000,"")</f>
        <v/>
      </c>
    </row>
    <row r="12" spans="1:11" x14ac:dyDescent="0.35">
      <c r="A12" t="s">
        <v>42</v>
      </c>
      <c r="B12" s="1">
        <v>799</v>
      </c>
      <c r="C12" s="1">
        <v>999</v>
      </c>
      <c r="D12" s="1">
        <f t="shared" si="0"/>
        <v>200</v>
      </c>
      <c r="E12">
        <v>0.2</v>
      </c>
      <c r="F12">
        <f t="shared" si="1"/>
        <v>20</v>
      </c>
      <c r="G12">
        <v>12</v>
      </c>
      <c r="H12" t="str">
        <f t="shared" si="2"/>
        <v>YES</v>
      </c>
      <c r="I12">
        <v>4.0999999999999996</v>
      </c>
      <c r="J12" t="str">
        <f>IF(AND(I12&lt;&gt;"", I12&gt;=DASHBOARD!$B$16), G12+ROW()/100000, "")</f>
        <v/>
      </c>
      <c r="K12" t="str">
        <f>IF(AND(F12&gt;=DASHBOARD!$B$31,OR(G12="",G12&lt;=DASHBOARD!$E$31)),F12+ROW()/100000,"")</f>
        <v/>
      </c>
    </row>
    <row r="13" spans="1:11" x14ac:dyDescent="0.35">
      <c r="A13" t="s">
        <v>44</v>
      </c>
      <c r="B13" s="1">
        <v>990</v>
      </c>
      <c r="C13" s="1">
        <v>1500</v>
      </c>
      <c r="D13" s="1">
        <f t="shared" si="0"/>
        <v>510</v>
      </c>
      <c r="E13">
        <v>0.34</v>
      </c>
      <c r="F13">
        <f t="shared" si="1"/>
        <v>34</v>
      </c>
      <c r="G13">
        <v>39</v>
      </c>
      <c r="H13" t="str">
        <f t="shared" si="2"/>
        <v>YES</v>
      </c>
      <c r="I13">
        <v>4.7</v>
      </c>
      <c r="J13">
        <f>IF(AND(I13&lt;&gt;"", I13&gt;=DASHBOARD!$B$16), G13+ROW()/100000, "")</f>
        <v>39.000129999999999</v>
      </c>
      <c r="K13" t="str">
        <f>IF(AND(F13&gt;=DASHBOARD!$B$31,OR(G13="",G13&lt;=DASHBOARD!$E$31)),F13+ROW()/100000,"")</f>
        <v/>
      </c>
    </row>
    <row r="14" spans="1:11" x14ac:dyDescent="0.35">
      <c r="A14" t="s">
        <v>47</v>
      </c>
      <c r="B14" s="1">
        <v>552</v>
      </c>
      <c r="C14" s="1">
        <v>1035</v>
      </c>
      <c r="D14" s="1">
        <f t="shared" si="0"/>
        <v>483</v>
      </c>
      <c r="E14">
        <v>0.47</v>
      </c>
      <c r="F14">
        <f t="shared" si="1"/>
        <v>47</v>
      </c>
      <c r="G14">
        <v>12</v>
      </c>
      <c r="H14" t="str">
        <f t="shared" si="2"/>
        <v>YES</v>
      </c>
      <c r="I14">
        <v>4.8</v>
      </c>
      <c r="J14">
        <f>IF(AND(I14&lt;&gt;"", I14&gt;=DASHBOARD!$B$16), G14+ROW()/100000, "")</f>
        <v>12.00014</v>
      </c>
      <c r="K14" t="str">
        <f>IF(AND(F14&gt;=DASHBOARD!$B$31,OR(G14="",G14&lt;=DASHBOARD!$E$31)),F14+ROW()/100000,"")</f>
        <v/>
      </c>
    </row>
    <row r="15" spans="1:11" x14ac:dyDescent="0.35">
      <c r="A15" t="s">
        <v>50</v>
      </c>
      <c r="B15" s="1">
        <v>501</v>
      </c>
      <c r="C15" s="1">
        <v>860</v>
      </c>
      <c r="D15" s="1">
        <f t="shared" si="0"/>
        <v>359</v>
      </c>
      <c r="E15">
        <v>0.42</v>
      </c>
      <c r="F15">
        <f t="shared" si="1"/>
        <v>42</v>
      </c>
      <c r="G15">
        <v>6</v>
      </c>
      <c r="H15" t="str">
        <f t="shared" si="2"/>
        <v>YES</v>
      </c>
      <c r="I15">
        <v>4.5</v>
      </c>
      <c r="J15">
        <f>IF(AND(I15&lt;&gt;"", I15&gt;=DASHBOARD!$B$16), G15+ROW()/100000, "")</f>
        <v>6.0001499999999997</v>
      </c>
      <c r="K15" t="str">
        <f>IF(AND(F15&gt;=DASHBOARD!$B$31,OR(G15="",G15&lt;=DASHBOARD!$E$31)),F15+ROW()/100000,"")</f>
        <v/>
      </c>
    </row>
    <row r="16" spans="1:11" x14ac:dyDescent="0.35">
      <c r="A16" t="s">
        <v>53</v>
      </c>
      <c r="B16" s="1">
        <v>1680</v>
      </c>
      <c r="C16" s="1">
        <v>2499</v>
      </c>
      <c r="D16" s="1">
        <f t="shared" si="0"/>
        <v>819</v>
      </c>
      <c r="E16">
        <v>0.33</v>
      </c>
      <c r="F16">
        <f t="shared" si="1"/>
        <v>33</v>
      </c>
      <c r="G16">
        <v>9</v>
      </c>
      <c r="H16" t="str">
        <f t="shared" si="2"/>
        <v>YES</v>
      </c>
      <c r="I16">
        <v>4.2</v>
      </c>
      <c r="J16" t="str">
        <f>IF(AND(I16&lt;&gt;"", I16&gt;=DASHBOARD!$B$16), G16+ROW()/100000, "")</f>
        <v/>
      </c>
      <c r="K16" t="str">
        <f>IF(AND(F16&gt;=DASHBOARD!$B$31,OR(G16="",G16&lt;=DASHBOARD!$E$31)),F16+ROW()/100000,"")</f>
        <v/>
      </c>
    </row>
    <row r="17" spans="1:11" x14ac:dyDescent="0.35">
      <c r="A17" t="s">
        <v>56</v>
      </c>
      <c r="B17" s="1">
        <v>332</v>
      </c>
      <c r="C17" s="1">
        <v>684</v>
      </c>
      <c r="D17" s="1">
        <f t="shared" si="0"/>
        <v>352</v>
      </c>
      <c r="E17">
        <v>0.51</v>
      </c>
      <c r="F17">
        <f t="shared" si="1"/>
        <v>51</v>
      </c>
      <c r="G17">
        <v>2</v>
      </c>
      <c r="H17" t="str">
        <f t="shared" si="2"/>
        <v>YES</v>
      </c>
      <c r="I17">
        <v>5</v>
      </c>
      <c r="J17">
        <f>IF(AND(I17&lt;&gt;"", I17&gt;=DASHBOARD!$B$16), G17+ROW()/100000, "")</f>
        <v>2.0001699999999998</v>
      </c>
      <c r="K17">
        <f>IF(AND(F17&gt;=DASHBOARD!$B$31,OR(G17="",G17&lt;=DASHBOARD!$E$31)),F17+ROW()/100000,"")</f>
        <v>51.000169999999997</v>
      </c>
    </row>
    <row r="18" spans="1:11" x14ac:dyDescent="0.35">
      <c r="A18" t="s">
        <v>60</v>
      </c>
      <c r="B18" s="1">
        <v>195</v>
      </c>
      <c r="C18" s="1">
        <v>360</v>
      </c>
      <c r="D18" s="1">
        <f t="shared" si="0"/>
        <v>165</v>
      </c>
      <c r="E18">
        <v>0.46</v>
      </c>
      <c r="F18">
        <f t="shared" si="1"/>
        <v>46</v>
      </c>
      <c r="G18">
        <v>2</v>
      </c>
      <c r="H18" t="str">
        <f t="shared" si="2"/>
        <v>YES</v>
      </c>
      <c r="I18">
        <v>5</v>
      </c>
      <c r="J18">
        <f>IF(AND(I18&lt;&gt;"", I18&gt;=DASHBOARD!$B$16), G18+ROW()/100000, "")</f>
        <v>2.0001799999999998</v>
      </c>
      <c r="K18">
        <f>IF(AND(F18&gt;=DASHBOARD!$B$31,OR(G18="",G18&lt;=DASHBOARD!$E$31)),F18+ROW()/100000,"")</f>
        <v>46.00018</v>
      </c>
    </row>
    <row r="19" spans="1:11" x14ac:dyDescent="0.35">
      <c r="A19" t="s">
        <v>63</v>
      </c>
      <c r="B19" s="1">
        <v>2025</v>
      </c>
      <c r="C19" s="1">
        <v>3971</v>
      </c>
      <c r="D19" s="1">
        <f t="shared" si="0"/>
        <v>1946</v>
      </c>
      <c r="E19">
        <v>0.49</v>
      </c>
      <c r="F19">
        <f t="shared" si="1"/>
        <v>49</v>
      </c>
      <c r="G19">
        <v>3</v>
      </c>
      <c r="H19" t="str">
        <f t="shared" si="2"/>
        <v>YES</v>
      </c>
      <c r="I19">
        <v>5</v>
      </c>
      <c r="J19">
        <f>IF(AND(I19&lt;&gt;"", I19&gt;=DASHBOARD!$B$16), G19+ROW()/100000, "")</f>
        <v>3.0001899999999999</v>
      </c>
      <c r="K19">
        <f>IF(AND(F19&gt;=DASHBOARD!$B$31,OR(G19="",G19&lt;=DASHBOARD!$E$31)),F19+ROW()/100000,"")</f>
        <v>49.000190000000003</v>
      </c>
    </row>
    <row r="20" spans="1:11" x14ac:dyDescent="0.35">
      <c r="A20" t="s">
        <v>66</v>
      </c>
      <c r="B20" s="1">
        <v>2999</v>
      </c>
      <c r="C20" s="1">
        <v>3699</v>
      </c>
      <c r="D20" s="1">
        <f t="shared" si="0"/>
        <v>700</v>
      </c>
      <c r="E20">
        <v>0.19</v>
      </c>
      <c r="F20">
        <f t="shared" si="1"/>
        <v>19</v>
      </c>
      <c r="G20">
        <v>5</v>
      </c>
      <c r="H20" t="str">
        <f t="shared" si="2"/>
        <v>YES</v>
      </c>
      <c r="I20">
        <v>4.5999999999999996</v>
      </c>
      <c r="J20">
        <f>IF(AND(I20&lt;&gt;"", I20&gt;=DASHBOARD!$B$16), G20+ROW()/100000, "")</f>
        <v>5.0002000000000004</v>
      </c>
      <c r="K20" t="str">
        <f>IF(AND(F20&gt;=DASHBOARD!$B$31,OR(G20="",G20&lt;=DASHBOARD!$E$31)),F20+ROW()/100000,"")</f>
        <v/>
      </c>
    </row>
    <row r="21" spans="1:11" x14ac:dyDescent="0.35">
      <c r="A21" t="s">
        <v>68</v>
      </c>
      <c r="B21" s="1">
        <v>998</v>
      </c>
      <c r="C21" s="1">
        <v>1966</v>
      </c>
      <c r="D21" s="1">
        <f t="shared" si="0"/>
        <v>968</v>
      </c>
      <c r="E21">
        <v>0.49</v>
      </c>
      <c r="F21">
        <f t="shared" si="1"/>
        <v>49</v>
      </c>
      <c r="G21">
        <v>44</v>
      </c>
      <c r="H21" t="str">
        <f t="shared" si="2"/>
        <v>YES</v>
      </c>
      <c r="I21">
        <v>4.5999999999999996</v>
      </c>
      <c r="J21">
        <f>IF(AND(I21&lt;&gt;"", I21&gt;=DASHBOARD!$B$16), G21+ROW()/100000, "")</f>
        <v>44.000210000000003</v>
      </c>
      <c r="K21" t="str">
        <f>IF(AND(F21&gt;=DASHBOARD!$B$31,OR(G21="",G21&lt;=DASHBOARD!$E$31)),F21+ROW()/100000,"")</f>
        <v/>
      </c>
    </row>
    <row r="22" spans="1:11" x14ac:dyDescent="0.35">
      <c r="A22" t="s">
        <v>71</v>
      </c>
      <c r="B22" s="1">
        <v>38</v>
      </c>
      <c r="C22" s="1">
        <v>80</v>
      </c>
      <c r="D22" s="1">
        <f t="shared" si="0"/>
        <v>42</v>
      </c>
      <c r="E22">
        <v>0.53</v>
      </c>
      <c r="F22">
        <f t="shared" si="1"/>
        <v>53</v>
      </c>
      <c r="G22">
        <v>13</v>
      </c>
      <c r="H22" t="str">
        <f t="shared" si="2"/>
        <v>YES</v>
      </c>
      <c r="I22">
        <v>3.3</v>
      </c>
      <c r="J22" t="str">
        <f>IF(AND(I22&lt;&gt;"", I22&gt;=DASHBOARD!$B$16), G22+ROW()/100000, "")</f>
        <v/>
      </c>
      <c r="K22" t="str">
        <f>IF(AND(F22&gt;=DASHBOARD!$B$31,OR(G22="",G22&lt;=DASHBOARD!$E$31)),F22+ROW()/100000,"")</f>
        <v/>
      </c>
    </row>
    <row r="23" spans="1:11" x14ac:dyDescent="0.35">
      <c r="A23" t="s">
        <v>75</v>
      </c>
      <c r="B23" s="1">
        <v>1860</v>
      </c>
      <c r="C23" s="1">
        <v>3220</v>
      </c>
      <c r="D23" s="1">
        <f t="shared" si="0"/>
        <v>1360</v>
      </c>
      <c r="E23">
        <v>0.42</v>
      </c>
      <c r="F23">
        <f t="shared" si="1"/>
        <v>42</v>
      </c>
      <c r="H23" t="str">
        <f t="shared" si="2"/>
        <v>NO</v>
      </c>
      <c r="I23" t="s">
        <v>78</v>
      </c>
      <c r="J23" t="str">
        <f>IF(AND(I23&lt;&gt;"", I23&gt;=DASHBOARD!$B$16), G23+ROW()/100000, "")</f>
        <v/>
      </c>
      <c r="K23">
        <f>IF(AND(F23&gt;=DASHBOARD!$B$31,OR(G23="",G23&lt;=DASHBOARD!$E$31)),F23+ROW()/100000,"")</f>
        <v>42.000230000000002</v>
      </c>
    </row>
    <row r="24" spans="1:11" x14ac:dyDescent="0.35">
      <c r="A24" t="s">
        <v>79</v>
      </c>
      <c r="B24" s="1">
        <v>880</v>
      </c>
      <c r="C24" s="1">
        <v>1350</v>
      </c>
      <c r="D24" s="1">
        <f t="shared" si="0"/>
        <v>470</v>
      </c>
      <c r="E24">
        <v>0.35</v>
      </c>
      <c r="F24">
        <f t="shared" si="1"/>
        <v>35</v>
      </c>
      <c r="G24">
        <v>6</v>
      </c>
      <c r="H24" t="str">
        <f t="shared" si="2"/>
        <v>YES</v>
      </c>
      <c r="I24">
        <v>4</v>
      </c>
      <c r="J24" t="str">
        <f>IF(AND(I24&lt;&gt;"", I24&gt;=DASHBOARD!$B$16), G24+ROW()/100000, "")</f>
        <v/>
      </c>
      <c r="K24" t="str">
        <f>IF(AND(F24&gt;=DASHBOARD!$B$31,OR(G24="",G24&lt;=DASHBOARD!$E$31)),F24+ROW()/100000,"")</f>
        <v/>
      </c>
    </row>
    <row r="25" spans="1:11" x14ac:dyDescent="0.35">
      <c r="A25" t="s">
        <v>82</v>
      </c>
      <c r="B25" s="1">
        <v>1650</v>
      </c>
      <c r="C25" s="1">
        <v>2150</v>
      </c>
      <c r="D25" s="1">
        <f t="shared" si="0"/>
        <v>500</v>
      </c>
      <c r="E25">
        <v>0.23</v>
      </c>
      <c r="F25">
        <f t="shared" si="1"/>
        <v>23</v>
      </c>
      <c r="G25">
        <v>14</v>
      </c>
      <c r="H25" t="str">
        <f t="shared" si="2"/>
        <v>YES</v>
      </c>
      <c r="I25">
        <v>4.4000000000000004</v>
      </c>
      <c r="J25" t="str">
        <f>IF(AND(I25&lt;&gt;"", I25&gt;=DASHBOARD!$B$16), G25+ROW()/100000, "")</f>
        <v/>
      </c>
      <c r="K25" t="str">
        <f>IF(AND(F25&gt;=DASHBOARD!$B$31,OR(G25="",G25&lt;=DASHBOARD!$E$31)),F25+ROW()/100000,"")</f>
        <v/>
      </c>
    </row>
    <row r="26" spans="1:11" x14ac:dyDescent="0.35">
      <c r="A26" t="s">
        <v>86</v>
      </c>
      <c r="B26" s="1">
        <v>2048</v>
      </c>
      <c r="C26" s="1">
        <v>4500</v>
      </c>
      <c r="D26" s="1">
        <f t="shared" si="0"/>
        <v>2452</v>
      </c>
      <c r="E26">
        <v>0.54</v>
      </c>
      <c r="F26">
        <f t="shared" si="1"/>
        <v>54</v>
      </c>
      <c r="G26">
        <v>7</v>
      </c>
      <c r="H26" t="str">
        <f t="shared" si="2"/>
        <v>YES</v>
      </c>
      <c r="I26">
        <v>4.3</v>
      </c>
      <c r="J26" t="str">
        <f>IF(AND(I26&lt;&gt;"", I26&gt;=DASHBOARD!$B$16), G26+ROW()/100000, "")</f>
        <v/>
      </c>
      <c r="K26" t="str">
        <f>IF(AND(F26&gt;=DASHBOARD!$B$31,OR(G26="",G26&lt;=DASHBOARD!$E$31)),F26+ROW()/100000,"")</f>
        <v/>
      </c>
    </row>
    <row r="27" spans="1:11" x14ac:dyDescent="0.35">
      <c r="A27" t="s">
        <v>90</v>
      </c>
      <c r="B27" s="1">
        <v>420</v>
      </c>
      <c r="C27" s="1">
        <v>647</v>
      </c>
      <c r="D27" s="1">
        <f t="shared" si="0"/>
        <v>227</v>
      </c>
      <c r="E27">
        <v>0.35</v>
      </c>
      <c r="F27">
        <f t="shared" si="1"/>
        <v>35</v>
      </c>
      <c r="G27">
        <v>49</v>
      </c>
      <c r="H27" t="str">
        <f t="shared" si="2"/>
        <v>YES</v>
      </c>
      <c r="I27">
        <v>4.5999999999999996</v>
      </c>
      <c r="J27">
        <f>IF(AND(I27&lt;&gt;"", I27&gt;=DASHBOARD!$B$16), G27+ROW()/100000, "")</f>
        <v>49.00027</v>
      </c>
      <c r="K27" t="str">
        <f>IF(AND(F27&gt;=DASHBOARD!$B$31,OR(G27="",G27&lt;=DASHBOARD!$E$31)),F27+ROW()/100000,"")</f>
        <v/>
      </c>
    </row>
    <row r="28" spans="1:11" x14ac:dyDescent="0.35">
      <c r="A28" t="s">
        <v>93</v>
      </c>
      <c r="B28" s="1">
        <v>2880</v>
      </c>
      <c r="C28" s="1">
        <v>3520</v>
      </c>
      <c r="D28" s="1">
        <f t="shared" si="0"/>
        <v>640</v>
      </c>
      <c r="E28">
        <v>0.18</v>
      </c>
      <c r="F28">
        <f t="shared" si="1"/>
        <v>18</v>
      </c>
      <c r="G28">
        <v>12</v>
      </c>
      <c r="H28" t="str">
        <f t="shared" si="2"/>
        <v>YES</v>
      </c>
      <c r="I28">
        <v>3.8</v>
      </c>
      <c r="J28" t="str">
        <f>IF(AND(I28&lt;&gt;"", I28&gt;=DASHBOARD!$B$16), G28+ROW()/100000, "")</f>
        <v/>
      </c>
      <c r="K28" t="str">
        <f>IF(AND(F28&gt;=DASHBOARD!$B$31,OR(G28="",G28&lt;=DASHBOARD!$E$31)),F28+ROW()/100000,"")</f>
        <v/>
      </c>
    </row>
    <row r="29" spans="1:11" x14ac:dyDescent="0.35">
      <c r="A29" t="s">
        <v>96</v>
      </c>
      <c r="B29" s="1">
        <v>1350</v>
      </c>
      <c r="C29" s="1">
        <v>1990</v>
      </c>
      <c r="D29" s="1">
        <f t="shared" si="0"/>
        <v>640</v>
      </c>
      <c r="E29">
        <v>0.32</v>
      </c>
      <c r="F29">
        <f t="shared" si="1"/>
        <v>32</v>
      </c>
      <c r="G29">
        <v>13</v>
      </c>
      <c r="H29" t="str">
        <f t="shared" si="2"/>
        <v>YES</v>
      </c>
      <c r="I29">
        <v>3.8</v>
      </c>
      <c r="J29" t="str">
        <f>IF(AND(I29&lt;&gt;"", I29&gt;=DASHBOARD!$B$16), G29+ROW()/100000, "")</f>
        <v/>
      </c>
      <c r="K29" t="str">
        <f>IF(AND(F29&gt;=DASHBOARD!$B$31,OR(G29="",G29&lt;=DASHBOARD!$E$31)),F29+ROW()/100000,"")</f>
        <v/>
      </c>
    </row>
    <row r="30" spans="1:11" x14ac:dyDescent="0.35">
      <c r="A30" t="s">
        <v>98</v>
      </c>
      <c r="B30" s="1">
        <v>1758</v>
      </c>
      <c r="C30" s="1">
        <v>2499</v>
      </c>
      <c r="D30" s="1">
        <f t="shared" si="0"/>
        <v>741</v>
      </c>
      <c r="E30">
        <v>0.3</v>
      </c>
      <c r="F30">
        <f t="shared" si="1"/>
        <v>30</v>
      </c>
      <c r="G30">
        <v>20</v>
      </c>
      <c r="H30" t="str">
        <f t="shared" si="2"/>
        <v>YES</v>
      </c>
      <c r="I30">
        <v>4.0999999999999996</v>
      </c>
      <c r="J30" t="str">
        <f>IF(AND(I30&lt;&gt;"", I30&gt;=DASHBOARD!$B$16), G30+ROW()/100000, "")</f>
        <v/>
      </c>
      <c r="K30" t="str">
        <f>IF(AND(F30&gt;=DASHBOARD!$B$31,OR(G30="",G30&lt;=DASHBOARD!$E$31)),F30+ROW()/100000,"")</f>
        <v/>
      </c>
    </row>
    <row r="31" spans="1:11" x14ac:dyDescent="0.35">
      <c r="A31" t="s">
        <v>100</v>
      </c>
      <c r="B31" s="1">
        <v>2200</v>
      </c>
      <c r="C31" s="1">
        <v>4080</v>
      </c>
      <c r="D31" s="1">
        <f t="shared" si="0"/>
        <v>1880</v>
      </c>
      <c r="E31">
        <v>0.46</v>
      </c>
      <c r="F31">
        <f t="shared" si="1"/>
        <v>46</v>
      </c>
      <c r="H31" t="str">
        <f t="shared" si="2"/>
        <v>NO</v>
      </c>
      <c r="I31" t="s">
        <v>78</v>
      </c>
      <c r="J31" t="str">
        <f>IF(AND(I31&lt;&gt;"", I31&gt;=DASHBOARD!$B$16), G31+ROW()/100000, "")</f>
        <v/>
      </c>
      <c r="K31">
        <f>IF(AND(F31&gt;=DASHBOARD!$B$31,OR(G31="",G31&lt;=DASHBOARD!$E$31)),F31+ROW()/100000,"")</f>
        <v>46.000309999999999</v>
      </c>
    </row>
    <row r="32" spans="1:11" x14ac:dyDescent="0.35">
      <c r="A32" t="s">
        <v>103</v>
      </c>
      <c r="B32" s="1">
        <v>185</v>
      </c>
      <c r="C32" s="1">
        <v>382</v>
      </c>
      <c r="D32" s="1">
        <f t="shared" si="0"/>
        <v>197</v>
      </c>
      <c r="E32">
        <v>0.52</v>
      </c>
      <c r="F32">
        <f t="shared" si="1"/>
        <v>52</v>
      </c>
      <c r="G32">
        <v>9</v>
      </c>
      <c r="H32" t="str">
        <f t="shared" si="2"/>
        <v>YES</v>
      </c>
      <c r="I32">
        <v>4.3</v>
      </c>
      <c r="J32" t="str">
        <f>IF(AND(I32&lt;&gt;"", I32&gt;=DASHBOARD!$B$16), G32+ROW()/100000, "")</f>
        <v/>
      </c>
      <c r="K32" t="str">
        <f>IF(AND(F32&gt;=DASHBOARD!$B$31,OR(G32="",G32&lt;=DASHBOARD!$E$31)),F32+ROW()/100000,"")</f>
        <v/>
      </c>
    </row>
    <row r="33" spans="1:11" x14ac:dyDescent="0.35">
      <c r="A33" t="s">
        <v>106</v>
      </c>
      <c r="B33" s="1">
        <v>980</v>
      </c>
      <c r="C33" s="1">
        <v>1490</v>
      </c>
      <c r="D33" s="1">
        <f t="shared" si="0"/>
        <v>510</v>
      </c>
      <c r="E33">
        <v>0.34</v>
      </c>
      <c r="F33">
        <f t="shared" si="1"/>
        <v>34</v>
      </c>
      <c r="G33">
        <v>12</v>
      </c>
      <c r="H33" t="str">
        <f t="shared" si="2"/>
        <v>YES</v>
      </c>
      <c r="I33">
        <v>4.7</v>
      </c>
      <c r="J33">
        <f>IF(AND(I33&lt;&gt;"", I33&gt;=DASHBOARD!$B$16), G33+ROW()/100000, "")</f>
        <v>12.00033</v>
      </c>
      <c r="K33" t="str">
        <f>IF(AND(F33&gt;=DASHBOARD!$B$31,OR(G33="",G33&lt;=DASHBOARD!$E$31)),F33+ROW()/100000,"")</f>
        <v/>
      </c>
    </row>
    <row r="34" spans="1:11" x14ac:dyDescent="0.35">
      <c r="A34" t="s">
        <v>109</v>
      </c>
      <c r="B34" s="1">
        <v>1820</v>
      </c>
      <c r="C34" s="1">
        <v>3490</v>
      </c>
      <c r="D34" s="1">
        <f t="shared" si="0"/>
        <v>1670</v>
      </c>
      <c r="E34">
        <v>0.48</v>
      </c>
      <c r="F34">
        <f t="shared" si="1"/>
        <v>48</v>
      </c>
      <c r="G34">
        <v>9</v>
      </c>
      <c r="H34" t="str">
        <f t="shared" si="2"/>
        <v>YES</v>
      </c>
      <c r="I34">
        <v>4.3</v>
      </c>
      <c r="J34" t="str">
        <f>IF(AND(I34&lt;&gt;"", I34&gt;=DASHBOARD!$B$16), G34+ROW()/100000, "")</f>
        <v/>
      </c>
      <c r="K34" t="str">
        <f>IF(AND(F34&gt;=DASHBOARD!$B$31,OR(G34="",G34&lt;=DASHBOARD!$E$31)),F34+ROW()/100000,"")</f>
        <v/>
      </c>
    </row>
    <row r="35" spans="1:11" x14ac:dyDescent="0.35">
      <c r="A35" t="s">
        <v>112</v>
      </c>
      <c r="B35" s="1">
        <v>1940</v>
      </c>
      <c r="C35" s="1">
        <v>2650</v>
      </c>
      <c r="D35" s="1">
        <f t="shared" si="0"/>
        <v>710</v>
      </c>
      <c r="E35">
        <v>0.27</v>
      </c>
      <c r="F35">
        <f t="shared" si="1"/>
        <v>27</v>
      </c>
      <c r="G35">
        <v>20</v>
      </c>
      <c r="H35" t="str">
        <f t="shared" si="2"/>
        <v>YES</v>
      </c>
      <c r="I35">
        <v>4.7</v>
      </c>
      <c r="J35">
        <f>IF(AND(I35&lt;&gt;"", I35&gt;=DASHBOARD!$B$16), G35+ROW()/100000, "")</f>
        <v>20.000350000000001</v>
      </c>
      <c r="K35" t="str">
        <f>IF(AND(F35&gt;=DASHBOARD!$B$31,OR(G35="",G35&lt;=DASHBOARD!$E$31)),F35+ROW()/100000,"")</f>
        <v/>
      </c>
    </row>
    <row r="36" spans="1:11" x14ac:dyDescent="0.35">
      <c r="A36" t="s">
        <v>115</v>
      </c>
      <c r="B36" s="1">
        <v>1980</v>
      </c>
      <c r="C36" s="1">
        <v>2699</v>
      </c>
      <c r="D36" s="1">
        <f t="shared" si="0"/>
        <v>719</v>
      </c>
      <c r="E36">
        <v>0.27</v>
      </c>
      <c r="F36">
        <f t="shared" si="1"/>
        <v>27</v>
      </c>
      <c r="G36">
        <v>32</v>
      </c>
      <c r="H36" t="str">
        <f t="shared" si="2"/>
        <v>YES</v>
      </c>
      <c r="I36">
        <v>4.5</v>
      </c>
      <c r="J36">
        <f>IF(AND(I36&lt;&gt;"", I36&gt;=DASHBOARD!$B$16), G36+ROW()/100000, "")</f>
        <v>32.000360000000001</v>
      </c>
      <c r="K36" t="str">
        <f>IF(AND(F36&gt;=DASHBOARD!$B$31,OR(G36="",G36&lt;=DASHBOARD!$E$31)),F36+ROW()/100000,"")</f>
        <v/>
      </c>
    </row>
    <row r="37" spans="1:11" x14ac:dyDescent="0.35">
      <c r="A37" t="s">
        <v>118</v>
      </c>
      <c r="B37" s="1">
        <v>1620</v>
      </c>
      <c r="C37" s="1">
        <v>2690</v>
      </c>
      <c r="D37" s="1">
        <f t="shared" si="0"/>
        <v>1070</v>
      </c>
      <c r="E37">
        <v>0.4</v>
      </c>
      <c r="F37">
        <f t="shared" si="1"/>
        <v>40</v>
      </c>
      <c r="G37">
        <v>1</v>
      </c>
      <c r="H37" t="str">
        <f t="shared" si="2"/>
        <v>YES</v>
      </c>
      <c r="I37">
        <v>5</v>
      </c>
      <c r="J37">
        <f>IF(AND(I37&lt;&gt;"", I37&gt;=DASHBOARD!$B$16), G37+ROW()/100000, "")</f>
        <v>1.00037</v>
      </c>
      <c r="K37">
        <f>IF(AND(F37&gt;=DASHBOARD!$B$31,OR(G37="",G37&lt;=DASHBOARD!$E$31)),F37+ROW()/100000,"")</f>
        <v>40.000369999999997</v>
      </c>
    </row>
    <row r="38" spans="1:11" x14ac:dyDescent="0.35">
      <c r="A38" t="s">
        <v>121</v>
      </c>
      <c r="B38" s="1">
        <v>171</v>
      </c>
      <c r="C38" s="1">
        <v>360</v>
      </c>
      <c r="D38" s="1">
        <f t="shared" si="0"/>
        <v>189</v>
      </c>
      <c r="E38">
        <v>0.53</v>
      </c>
      <c r="F38">
        <f t="shared" si="1"/>
        <v>53</v>
      </c>
      <c r="G38">
        <v>2</v>
      </c>
      <c r="H38" t="str">
        <f t="shared" si="2"/>
        <v>YES</v>
      </c>
      <c r="I38">
        <v>5</v>
      </c>
      <c r="J38">
        <f>IF(AND(I38&lt;&gt;"", I38&gt;=DASHBOARD!$B$16), G38+ROW()/100000, "")</f>
        <v>2.0003799999999998</v>
      </c>
      <c r="K38">
        <f>IF(AND(F38&gt;=DASHBOARD!$B$31,OR(G38="",G38&lt;=DASHBOARD!$E$31)),F38+ROW()/100000,"")</f>
        <v>53.00038</v>
      </c>
    </row>
    <row r="39" spans="1:11" x14ac:dyDescent="0.35">
      <c r="A39" t="s">
        <v>123</v>
      </c>
      <c r="B39" s="1">
        <v>389</v>
      </c>
      <c r="C39" s="1">
        <v>656</v>
      </c>
      <c r="D39" s="1">
        <f t="shared" si="0"/>
        <v>267</v>
      </c>
      <c r="E39">
        <v>0.41</v>
      </c>
      <c r="F39">
        <f t="shared" si="1"/>
        <v>41</v>
      </c>
      <c r="G39">
        <v>36</v>
      </c>
      <c r="H39" t="str">
        <f t="shared" si="2"/>
        <v>YES</v>
      </c>
      <c r="I39">
        <v>4.3</v>
      </c>
      <c r="J39" t="str">
        <f>IF(AND(I39&lt;&gt;"", I39&gt;=DASHBOARD!$B$16), G39+ROW()/100000, "")</f>
        <v/>
      </c>
      <c r="K39" t="str">
        <f>IF(AND(F39&gt;=DASHBOARD!$B$31,OR(G39="",G39&lt;=DASHBOARD!$E$31)),F39+ROW()/100000,"")</f>
        <v/>
      </c>
    </row>
    <row r="40" spans="1:11" x14ac:dyDescent="0.35">
      <c r="A40" t="s">
        <v>126</v>
      </c>
      <c r="B40" s="1">
        <v>1800</v>
      </c>
      <c r="C40" s="1">
        <v>2700</v>
      </c>
      <c r="D40" s="1">
        <f t="shared" si="0"/>
        <v>900</v>
      </c>
      <c r="E40">
        <v>0.38</v>
      </c>
      <c r="F40">
        <f t="shared" si="1"/>
        <v>38</v>
      </c>
      <c r="G40">
        <v>2</v>
      </c>
      <c r="H40" t="str">
        <f t="shared" si="2"/>
        <v>YES</v>
      </c>
      <c r="I40">
        <v>4.5</v>
      </c>
      <c r="J40">
        <f>IF(AND(I40&lt;&gt;"", I40&gt;=DASHBOARD!$B$16), G40+ROW()/100000, "")</f>
        <v>2.0004</v>
      </c>
      <c r="K40" t="str">
        <f>IF(AND(F40&gt;=DASHBOARD!$B$31,OR(G40="",G40&lt;=DASHBOARD!$E$31)),F40+ROW()/100000,"")</f>
        <v/>
      </c>
    </row>
    <row r="41" spans="1:11" x14ac:dyDescent="0.35">
      <c r="A41" t="s">
        <v>129</v>
      </c>
      <c r="B41" s="1">
        <v>2750</v>
      </c>
      <c r="C41" s="1">
        <v>4471</v>
      </c>
      <c r="D41" s="1">
        <f t="shared" si="0"/>
        <v>1721</v>
      </c>
      <c r="E41">
        <v>0.38</v>
      </c>
      <c r="F41">
        <f t="shared" si="1"/>
        <v>38</v>
      </c>
      <c r="H41" t="str">
        <f t="shared" si="2"/>
        <v>NO</v>
      </c>
      <c r="I41" t="s">
        <v>78</v>
      </c>
      <c r="J41" t="str">
        <f>IF(AND(I41&lt;&gt;"", I41&gt;=DASHBOARD!$B$16), G41+ROW()/100000, "")</f>
        <v/>
      </c>
      <c r="K41" t="str">
        <f>IF(AND(F41&gt;=DASHBOARD!$B$31,OR(G41="",G41&lt;=DASHBOARD!$E$31)),F41+ROW()/100000,"")</f>
        <v/>
      </c>
    </row>
    <row r="42" spans="1:11" x14ac:dyDescent="0.35">
      <c r="A42" t="s">
        <v>132</v>
      </c>
      <c r="B42" s="1">
        <v>475</v>
      </c>
      <c r="C42" s="1">
        <v>931</v>
      </c>
      <c r="D42" s="1">
        <f t="shared" si="0"/>
        <v>456</v>
      </c>
      <c r="E42">
        <v>0.49</v>
      </c>
      <c r="F42">
        <f t="shared" si="1"/>
        <v>49</v>
      </c>
      <c r="H42" t="str">
        <f t="shared" si="2"/>
        <v>NO</v>
      </c>
      <c r="I42" t="s">
        <v>78</v>
      </c>
      <c r="J42" t="str">
        <f>IF(AND(I42&lt;&gt;"", I42&gt;=DASHBOARD!$B$16), G42+ROW()/100000, "")</f>
        <v/>
      </c>
      <c r="K42">
        <f>IF(AND(F42&gt;=DASHBOARD!$B$31,OR(G42="",G42&lt;=DASHBOARD!$E$31)),F42+ROW()/100000,"")</f>
        <v>49.000419999999998</v>
      </c>
    </row>
    <row r="43" spans="1:11" x14ac:dyDescent="0.35">
      <c r="A43" t="s">
        <v>135</v>
      </c>
      <c r="B43" s="1">
        <v>238</v>
      </c>
      <c r="C43" s="1">
        <v>476</v>
      </c>
      <c r="D43" s="1">
        <f t="shared" si="0"/>
        <v>238</v>
      </c>
      <c r="E43">
        <v>0.5</v>
      </c>
      <c r="F43">
        <f t="shared" si="1"/>
        <v>50</v>
      </c>
      <c r="H43" t="str">
        <f t="shared" si="2"/>
        <v>NO</v>
      </c>
      <c r="I43" t="s">
        <v>78</v>
      </c>
      <c r="J43" t="str">
        <f>IF(AND(I43&lt;&gt;"", I43&gt;=DASHBOARD!$B$16), G43+ROW()/100000, "")</f>
        <v/>
      </c>
      <c r="K43">
        <f>IF(AND(F43&gt;=DASHBOARD!$B$31,OR(G43="",G43&lt;=DASHBOARD!$E$31)),F43+ROW()/100000,"")</f>
        <v>50.000430000000001</v>
      </c>
    </row>
    <row r="44" spans="1:11" x14ac:dyDescent="0.35">
      <c r="A44" t="s">
        <v>138</v>
      </c>
      <c r="B44" s="1">
        <v>610</v>
      </c>
      <c r="C44" s="1">
        <v>1060</v>
      </c>
      <c r="D44" s="1">
        <f t="shared" si="0"/>
        <v>450</v>
      </c>
      <c r="E44">
        <v>0.42</v>
      </c>
      <c r="F44">
        <f t="shared" si="1"/>
        <v>42</v>
      </c>
      <c r="H44" t="str">
        <f t="shared" si="2"/>
        <v>NO</v>
      </c>
      <c r="I44" t="s">
        <v>78</v>
      </c>
      <c r="J44" t="str">
        <f>IF(AND(I44&lt;&gt;"", I44&gt;=DASHBOARD!$B$16), G44+ROW()/100000, "")</f>
        <v/>
      </c>
      <c r="K44">
        <f>IF(AND(F44&gt;=DASHBOARD!$B$31,OR(G44="",G44&lt;=DASHBOARD!$E$31)),F44+ROW()/100000,"")</f>
        <v>42.000439999999998</v>
      </c>
    </row>
    <row r="45" spans="1:11" x14ac:dyDescent="0.35">
      <c r="A45" t="s">
        <v>138</v>
      </c>
      <c r="B45" s="1">
        <v>610</v>
      </c>
      <c r="C45" s="1">
        <v>1060</v>
      </c>
      <c r="D45" s="1">
        <f t="shared" si="0"/>
        <v>450</v>
      </c>
      <c r="E45">
        <v>0.42</v>
      </c>
      <c r="F45">
        <f t="shared" si="1"/>
        <v>42</v>
      </c>
      <c r="H45" t="str">
        <f t="shared" si="2"/>
        <v>NO</v>
      </c>
      <c r="I45" t="s">
        <v>78</v>
      </c>
      <c r="J45" t="str">
        <f>IF(AND(I45&lt;&gt;"", I45&gt;=DASHBOARD!$B$16), G45+ROW()/100000, "")</f>
        <v/>
      </c>
      <c r="K45">
        <f>IF(AND(F45&gt;=DASHBOARD!$B$31,OR(G45="",G45&lt;=DASHBOARD!$E$31)),F45+ROW()/100000,"")</f>
        <v>42.000450000000001</v>
      </c>
    </row>
    <row r="46" spans="1:11" x14ac:dyDescent="0.35">
      <c r="A46" t="s">
        <v>141</v>
      </c>
      <c r="B46" s="1">
        <v>2132</v>
      </c>
      <c r="C46" s="1">
        <v>2169</v>
      </c>
      <c r="D46" s="1">
        <f t="shared" si="0"/>
        <v>37</v>
      </c>
      <c r="E46">
        <v>0.02</v>
      </c>
      <c r="F46">
        <f t="shared" si="1"/>
        <v>2</v>
      </c>
      <c r="H46" t="str">
        <f t="shared" si="2"/>
        <v>NO</v>
      </c>
      <c r="I46" t="s">
        <v>78</v>
      </c>
      <c r="J46" t="str">
        <f>IF(AND(I46&lt;&gt;"", I46&gt;=DASHBOARD!$B$16), G46+ROW()/100000, "")</f>
        <v/>
      </c>
      <c r="K46" t="str">
        <f>IF(AND(F46&gt;=DASHBOARD!$B$31,OR(G46="",G46&lt;=DASHBOARD!$E$31)),F46+ROW()/100000,"")</f>
        <v/>
      </c>
    </row>
    <row r="47" spans="1:11" x14ac:dyDescent="0.35">
      <c r="A47" t="s">
        <v>144</v>
      </c>
      <c r="B47" s="1">
        <v>999</v>
      </c>
      <c r="C47" s="1">
        <v>2000</v>
      </c>
      <c r="D47" s="1">
        <f t="shared" si="0"/>
        <v>1001</v>
      </c>
      <c r="E47">
        <v>0.5</v>
      </c>
      <c r="F47">
        <f t="shared" si="1"/>
        <v>50</v>
      </c>
      <c r="H47" t="str">
        <f t="shared" si="2"/>
        <v>NO</v>
      </c>
      <c r="I47" t="s">
        <v>78</v>
      </c>
      <c r="J47" t="str">
        <f>IF(AND(I47&lt;&gt;"", I47&gt;=DASHBOARD!$B$16), G47+ROW()/100000, "")</f>
        <v/>
      </c>
      <c r="K47">
        <f>IF(AND(F47&gt;=DASHBOARD!$B$31,OR(G47="",G47&lt;=DASHBOARD!$E$31)),F47+ROW()/100000,"")</f>
        <v>50.00047</v>
      </c>
    </row>
    <row r="48" spans="1:11" x14ac:dyDescent="0.35">
      <c r="A48" t="s">
        <v>146</v>
      </c>
      <c r="B48" s="1">
        <v>1190</v>
      </c>
      <c r="C48" s="1">
        <v>1785</v>
      </c>
      <c r="D48" s="1">
        <f t="shared" si="0"/>
        <v>595</v>
      </c>
      <c r="E48">
        <v>0.33</v>
      </c>
      <c r="F48">
        <f t="shared" si="1"/>
        <v>33</v>
      </c>
      <c r="H48" t="str">
        <f t="shared" si="2"/>
        <v>NO</v>
      </c>
      <c r="I48" t="s">
        <v>78</v>
      </c>
      <c r="J48" t="str">
        <f>IF(AND(I48&lt;&gt;"", I48&gt;=DASHBOARD!$B$16), G48+ROW()/100000, "")</f>
        <v/>
      </c>
      <c r="K48" t="str">
        <f>IF(AND(F48&gt;=DASHBOARD!$B$31,OR(G48="",G48&lt;=DASHBOARD!$E$31)),F48+ROW()/100000,"")</f>
        <v/>
      </c>
    </row>
    <row r="49" spans="1:11" x14ac:dyDescent="0.35">
      <c r="A49" t="s">
        <v>149</v>
      </c>
      <c r="B49" s="1">
        <v>671</v>
      </c>
      <c r="C49" s="1">
        <v>1316</v>
      </c>
      <c r="D49" s="1">
        <f t="shared" si="0"/>
        <v>645</v>
      </c>
      <c r="E49">
        <v>0.49</v>
      </c>
      <c r="F49">
        <f t="shared" si="1"/>
        <v>49</v>
      </c>
      <c r="H49" t="str">
        <f t="shared" si="2"/>
        <v>NO</v>
      </c>
      <c r="I49" t="s">
        <v>78</v>
      </c>
      <c r="J49" t="str">
        <f>IF(AND(I49&lt;&gt;"", I49&gt;=DASHBOARD!$B$16), G49+ROW()/100000, "")</f>
        <v/>
      </c>
      <c r="K49">
        <f>IF(AND(F49&gt;=DASHBOARD!$B$31,OR(G49="",G49&lt;=DASHBOARD!$E$31)),F49+ROW()/100000,"")</f>
        <v>49.000489999999999</v>
      </c>
    </row>
    <row r="50" spans="1:11" x14ac:dyDescent="0.35">
      <c r="A50" t="s">
        <v>152</v>
      </c>
      <c r="B50" s="1">
        <v>1200</v>
      </c>
      <c r="C50" s="1">
        <v>1950</v>
      </c>
      <c r="D50" s="1">
        <f t="shared" si="0"/>
        <v>750</v>
      </c>
      <c r="E50">
        <v>0.38</v>
      </c>
      <c r="F50">
        <f t="shared" si="1"/>
        <v>38</v>
      </c>
      <c r="H50" t="str">
        <f t="shared" si="2"/>
        <v>NO</v>
      </c>
      <c r="I50" t="s">
        <v>78</v>
      </c>
      <c r="J50" t="str">
        <f>IF(AND(I50&lt;&gt;"", I50&gt;=DASHBOARD!$B$16), G50+ROW()/100000, "")</f>
        <v/>
      </c>
      <c r="K50" t="str">
        <f>IF(AND(F50&gt;=DASHBOARD!$B$31,OR(G50="",G50&lt;=DASHBOARD!$E$31)),F50+ROW()/100000,"")</f>
        <v/>
      </c>
    </row>
    <row r="51" spans="1:11" x14ac:dyDescent="0.35">
      <c r="A51" t="s">
        <v>155</v>
      </c>
      <c r="B51" s="1">
        <v>199</v>
      </c>
      <c r="C51" s="1">
        <v>504</v>
      </c>
      <c r="D51" s="1">
        <f t="shared" si="0"/>
        <v>305</v>
      </c>
      <c r="E51">
        <v>0.61</v>
      </c>
      <c r="F51">
        <f t="shared" si="1"/>
        <v>61</v>
      </c>
      <c r="H51" t="str">
        <f t="shared" si="2"/>
        <v>NO</v>
      </c>
      <c r="I51" t="s">
        <v>78</v>
      </c>
      <c r="J51" t="str">
        <f>IF(AND(I51&lt;&gt;"", I51&gt;=DASHBOARD!$B$16), G51+ROW()/100000, "")</f>
        <v/>
      </c>
      <c r="K51">
        <f>IF(AND(F51&gt;=DASHBOARD!$B$31,OR(G51="",G51&lt;=DASHBOARD!$E$31)),F51+ROW()/100000,"")</f>
        <v>61.000509999999998</v>
      </c>
    </row>
    <row r="52" spans="1:11" x14ac:dyDescent="0.35">
      <c r="A52" t="s">
        <v>158</v>
      </c>
      <c r="B52" s="1">
        <v>299</v>
      </c>
      <c r="C52" s="1">
        <v>600</v>
      </c>
      <c r="D52" s="1">
        <f t="shared" si="0"/>
        <v>301</v>
      </c>
      <c r="E52">
        <v>0.5</v>
      </c>
      <c r="F52">
        <f t="shared" si="1"/>
        <v>50</v>
      </c>
      <c r="H52" t="str">
        <f t="shared" si="2"/>
        <v>NO</v>
      </c>
      <c r="I52" t="s">
        <v>78</v>
      </c>
      <c r="J52" t="str">
        <f>IF(AND(I52&lt;&gt;"", I52&gt;=DASHBOARD!$B$16), G52+ROW()/100000, "")</f>
        <v/>
      </c>
      <c r="K52">
        <f>IF(AND(F52&gt;=DASHBOARD!$B$31,OR(G52="",G52&lt;=DASHBOARD!$E$31)),F52+ROW()/100000,"")</f>
        <v>50.000520000000002</v>
      </c>
    </row>
    <row r="53" spans="1:11" x14ac:dyDescent="0.35">
      <c r="A53" t="s">
        <v>161</v>
      </c>
      <c r="B53" s="1">
        <v>1660</v>
      </c>
      <c r="C53" s="1">
        <v>1699</v>
      </c>
      <c r="D53" s="1">
        <f t="shared" si="0"/>
        <v>39</v>
      </c>
      <c r="E53">
        <v>0.02</v>
      </c>
      <c r="F53">
        <f t="shared" si="1"/>
        <v>2</v>
      </c>
      <c r="H53" t="str">
        <f t="shared" si="2"/>
        <v>NO</v>
      </c>
      <c r="I53" t="s">
        <v>78</v>
      </c>
      <c r="J53" t="str">
        <f>IF(AND(I53&lt;&gt;"", I53&gt;=DASHBOARD!$B$16), G53+ROW()/100000, "")</f>
        <v/>
      </c>
      <c r="K53" t="str">
        <f>IF(AND(F53&gt;=DASHBOARD!$B$31,OR(G53="",G53&lt;=DASHBOARD!$E$31)),F53+ROW()/100000,"")</f>
        <v/>
      </c>
    </row>
    <row r="54" spans="1:11" x14ac:dyDescent="0.35">
      <c r="A54" t="s">
        <v>164</v>
      </c>
      <c r="B54" s="1">
        <v>299</v>
      </c>
      <c r="C54" s="1">
        <v>384</v>
      </c>
      <c r="D54" s="1">
        <f t="shared" si="0"/>
        <v>85</v>
      </c>
      <c r="E54">
        <v>0.22</v>
      </c>
      <c r="F54">
        <f t="shared" si="1"/>
        <v>22</v>
      </c>
      <c r="H54" t="str">
        <f t="shared" si="2"/>
        <v>NO</v>
      </c>
      <c r="I54" t="s">
        <v>78</v>
      </c>
      <c r="J54" t="str">
        <f>IF(AND(I54&lt;&gt;"", I54&gt;=DASHBOARD!$B$16), G54+ROW()/100000, "")</f>
        <v/>
      </c>
      <c r="K54" t="str">
        <f>IF(AND(F54&gt;=DASHBOARD!$B$31,OR(G54="",G54&lt;=DASHBOARD!$E$31)),F54+ROW()/100000,"")</f>
        <v/>
      </c>
    </row>
    <row r="55" spans="1:11" x14ac:dyDescent="0.35">
      <c r="A55" t="s">
        <v>166</v>
      </c>
      <c r="B55" s="1">
        <v>1459</v>
      </c>
      <c r="C55" s="1">
        <v>1499</v>
      </c>
      <c r="D55" s="1">
        <f t="shared" si="0"/>
        <v>40</v>
      </c>
      <c r="E55">
        <v>0.03</v>
      </c>
      <c r="F55">
        <f t="shared" si="1"/>
        <v>3</v>
      </c>
      <c r="H55" t="str">
        <f t="shared" si="2"/>
        <v>NO</v>
      </c>
      <c r="I55" t="s">
        <v>78</v>
      </c>
      <c r="J55" t="str">
        <f>IF(AND(I55&lt;&gt;"", I55&gt;=DASHBOARD!$B$16), G55+ROW()/100000, "")</f>
        <v/>
      </c>
      <c r="K55" t="str">
        <f>IF(AND(F55&gt;=DASHBOARD!$B$31,OR(G55="",G55&lt;=DASHBOARD!$E$31)),F55+ROW()/100000,"")</f>
        <v/>
      </c>
    </row>
    <row r="56" spans="1:11" x14ac:dyDescent="0.35">
      <c r="A56" t="s">
        <v>169</v>
      </c>
      <c r="B56" s="1">
        <v>799</v>
      </c>
      <c r="C56" s="1">
        <v>1343</v>
      </c>
      <c r="D56" s="1">
        <f t="shared" si="0"/>
        <v>544</v>
      </c>
      <c r="E56">
        <v>0.41</v>
      </c>
      <c r="F56">
        <f t="shared" si="1"/>
        <v>41</v>
      </c>
      <c r="H56" t="str">
        <f t="shared" si="2"/>
        <v>NO</v>
      </c>
      <c r="I56" t="s">
        <v>78</v>
      </c>
      <c r="J56" t="str">
        <f>IF(AND(I56&lt;&gt;"", I56&gt;=DASHBOARD!$B$16), G56+ROW()/100000, "")</f>
        <v/>
      </c>
      <c r="K56">
        <f>IF(AND(F56&gt;=DASHBOARD!$B$31,OR(G56="",G56&lt;=DASHBOARD!$E$31)),F56+ROW()/100000,"")</f>
        <v>41.00056</v>
      </c>
    </row>
    <row r="57" spans="1:11" x14ac:dyDescent="0.35">
      <c r="A57" t="s">
        <v>171</v>
      </c>
      <c r="B57" s="1">
        <v>499</v>
      </c>
      <c r="C57" s="1">
        <v>900</v>
      </c>
      <c r="D57" s="1">
        <f t="shared" si="0"/>
        <v>401</v>
      </c>
      <c r="E57">
        <v>0.45</v>
      </c>
      <c r="F57">
        <f t="shared" si="1"/>
        <v>45</v>
      </c>
      <c r="H57" t="str">
        <f t="shared" si="2"/>
        <v>NO</v>
      </c>
      <c r="I57" t="s">
        <v>78</v>
      </c>
      <c r="J57" t="str">
        <f>IF(AND(I57&lt;&gt;"", I57&gt;=DASHBOARD!$B$16), G57+ROW()/100000, "")</f>
        <v/>
      </c>
      <c r="K57">
        <f>IF(AND(F57&gt;=DASHBOARD!$B$31,OR(G57="",G57&lt;=DASHBOARD!$E$31)),F57+ROW()/100000,"")</f>
        <v>45.000570000000003</v>
      </c>
    </row>
    <row r="58" spans="1:11" x14ac:dyDescent="0.35">
      <c r="A58" t="s">
        <v>174</v>
      </c>
      <c r="B58" s="1">
        <v>699</v>
      </c>
      <c r="C58" s="1">
        <v>1343</v>
      </c>
      <c r="D58" s="1">
        <f t="shared" si="0"/>
        <v>644</v>
      </c>
      <c r="E58">
        <v>0.48</v>
      </c>
      <c r="F58">
        <f t="shared" si="1"/>
        <v>48</v>
      </c>
      <c r="H58" t="str">
        <f t="shared" si="2"/>
        <v>NO</v>
      </c>
      <c r="I58" t="s">
        <v>78</v>
      </c>
      <c r="J58" t="str">
        <f>IF(AND(I58&lt;&gt;"", I58&gt;=DASHBOARD!$B$16), G58+ROW()/100000, "")</f>
        <v/>
      </c>
      <c r="K58">
        <f>IF(AND(F58&gt;=DASHBOARD!$B$31,OR(G58="",G58&lt;=DASHBOARD!$E$31)),F58+ROW()/100000,"")</f>
        <v>48.000579999999999</v>
      </c>
    </row>
    <row r="59" spans="1:11" x14ac:dyDescent="0.35">
      <c r="A59" t="s">
        <v>176</v>
      </c>
      <c r="B59" s="1">
        <v>799</v>
      </c>
      <c r="C59" s="1">
        <v>1567</v>
      </c>
      <c r="D59" s="1">
        <f t="shared" si="0"/>
        <v>768</v>
      </c>
      <c r="E59">
        <v>0.49</v>
      </c>
      <c r="F59">
        <f t="shared" si="1"/>
        <v>49</v>
      </c>
      <c r="H59" t="str">
        <f t="shared" si="2"/>
        <v>NO</v>
      </c>
      <c r="I59" t="s">
        <v>78</v>
      </c>
      <c r="J59" t="str">
        <f>IF(AND(I59&lt;&gt;"", I59&gt;=DASHBOARD!$B$16), G59+ROW()/100000, "")</f>
        <v/>
      </c>
      <c r="K59">
        <f>IF(AND(F59&gt;=DASHBOARD!$B$31,OR(G59="",G59&lt;=DASHBOARD!$E$31)),F59+ROW()/100000,"")</f>
        <v>49.000590000000003</v>
      </c>
    </row>
    <row r="60" spans="1:11" x14ac:dyDescent="0.35">
      <c r="A60" t="s">
        <v>178</v>
      </c>
      <c r="B60" s="1">
        <v>2799</v>
      </c>
      <c r="C60" s="1">
        <v>3810</v>
      </c>
      <c r="D60" s="1">
        <f t="shared" si="0"/>
        <v>1011</v>
      </c>
      <c r="E60">
        <v>0.27</v>
      </c>
      <c r="F60">
        <f t="shared" si="1"/>
        <v>27</v>
      </c>
      <c r="H60" t="str">
        <f t="shared" si="2"/>
        <v>NO</v>
      </c>
      <c r="I60" t="s">
        <v>78</v>
      </c>
      <c r="J60" t="str">
        <f>IF(AND(I60&lt;&gt;"", I60&gt;=DASHBOARD!$B$16), G60+ROW()/100000, "")</f>
        <v/>
      </c>
      <c r="K60" t="str">
        <f>IF(AND(F60&gt;=DASHBOARD!$B$31,OR(G60="",G60&lt;=DASHBOARD!$E$31)),F60+ROW()/100000,"")</f>
        <v/>
      </c>
    </row>
    <row r="61" spans="1:11" x14ac:dyDescent="0.35">
      <c r="A61" t="s">
        <v>171</v>
      </c>
      <c r="B61" s="1">
        <v>399</v>
      </c>
      <c r="C61" s="1">
        <v>896</v>
      </c>
      <c r="D61" s="1">
        <f t="shared" si="0"/>
        <v>497</v>
      </c>
      <c r="E61">
        <v>0.55000000000000004</v>
      </c>
      <c r="F61">
        <f t="shared" si="1"/>
        <v>55.000000000000007</v>
      </c>
      <c r="H61" t="str">
        <f t="shared" si="2"/>
        <v>NO</v>
      </c>
      <c r="I61" t="s">
        <v>78</v>
      </c>
      <c r="J61" t="str">
        <f>IF(AND(I61&lt;&gt;"", I61&gt;=DASHBOARD!$B$16), G61+ROW()/100000, "")</f>
        <v/>
      </c>
      <c r="K61">
        <f>IF(AND(F61&gt;=DASHBOARD!$B$31,OR(G61="",G61&lt;=DASHBOARD!$E$31)),F61+ROW()/100000,"")</f>
        <v>55.000610000000009</v>
      </c>
    </row>
    <row r="62" spans="1:11" x14ac:dyDescent="0.35">
      <c r="A62" t="s">
        <v>183</v>
      </c>
      <c r="B62" s="1">
        <v>2170</v>
      </c>
      <c r="C62" s="1">
        <v>2500</v>
      </c>
      <c r="D62" s="1">
        <f t="shared" si="0"/>
        <v>330</v>
      </c>
      <c r="E62">
        <v>0.13</v>
      </c>
      <c r="F62">
        <f t="shared" si="1"/>
        <v>13</v>
      </c>
      <c r="G62">
        <v>6</v>
      </c>
      <c r="H62" t="str">
        <f t="shared" si="2"/>
        <v>YES</v>
      </c>
      <c r="I62">
        <v>2.5</v>
      </c>
      <c r="J62" t="str">
        <f>IF(AND(I62&lt;&gt;"", I62&gt;=DASHBOARD!$B$16), G62+ROW()/100000, "")</f>
        <v/>
      </c>
      <c r="K62" t="str">
        <f>IF(AND(F62&gt;=DASHBOARD!$B$31,OR(G62="",G62&lt;=DASHBOARD!$E$31)),F62+ROW()/100000,"")</f>
        <v/>
      </c>
    </row>
    <row r="63" spans="1:11" x14ac:dyDescent="0.35">
      <c r="A63" t="s">
        <v>187</v>
      </c>
      <c r="B63" s="1">
        <v>458</v>
      </c>
      <c r="C63" s="1">
        <v>986</v>
      </c>
      <c r="D63" s="1">
        <f t="shared" si="0"/>
        <v>528</v>
      </c>
      <c r="E63">
        <v>0.54</v>
      </c>
      <c r="F63">
        <f t="shared" si="1"/>
        <v>54</v>
      </c>
      <c r="G63">
        <v>10</v>
      </c>
      <c r="H63" t="str">
        <f t="shared" si="2"/>
        <v>YES</v>
      </c>
      <c r="I63">
        <v>3</v>
      </c>
      <c r="J63" t="str">
        <f>IF(AND(I63&lt;&gt;"", I63&gt;=DASHBOARD!$B$16), G63+ROW()/100000, "")</f>
        <v/>
      </c>
      <c r="K63" t="str">
        <f>IF(AND(F63&gt;=DASHBOARD!$B$31,OR(G63="",G63&lt;=DASHBOARD!$E$31)),F63+ROW()/100000,"")</f>
        <v/>
      </c>
    </row>
    <row r="64" spans="1:11" x14ac:dyDescent="0.35">
      <c r="A64" t="s">
        <v>191</v>
      </c>
      <c r="B64" s="1">
        <v>2115</v>
      </c>
      <c r="C64" s="1">
        <v>4700</v>
      </c>
      <c r="D64" s="1">
        <f t="shared" si="0"/>
        <v>2585</v>
      </c>
      <c r="E64">
        <v>0.55000000000000004</v>
      </c>
      <c r="F64">
        <f t="shared" si="1"/>
        <v>55.000000000000007</v>
      </c>
      <c r="G64">
        <v>13</v>
      </c>
      <c r="H64" t="str">
        <f t="shared" si="2"/>
        <v>YES</v>
      </c>
      <c r="I64">
        <v>2.1</v>
      </c>
      <c r="J64" t="str">
        <f>IF(AND(I64&lt;&gt;"", I64&gt;=DASHBOARD!$B$16), G64+ROW()/100000, "")</f>
        <v/>
      </c>
      <c r="K64" t="str">
        <f>IF(AND(F64&gt;=DASHBOARD!$B$31,OR(G64="",G64&lt;=DASHBOARD!$E$31)),F64+ROW()/100000,"")</f>
        <v/>
      </c>
    </row>
    <row r="65" spans="1:11" x14ac:dyDescent="0.35">
      <c r="A65" t="s">
        <v>195</v>
      </c>
      <c r="B65" s="1">
        <v>445</v>
      </c>
      <c r="C65" s="1">
        <v>873</v>
      </c>
      <c r="D65" s="1">
        <f t="shared" si="0"/>
        <v>428</v>
      </c>
      <c r="E65">
        <v>0.49</v>
      </c>
      <c r="F65">
        <f t="shared" si="1"/>
        <v>49</v>
      </c>
      <c r="G65">
        <v>69</v>
      </c>
      <c r="H65" t="str">
        <f t="shared" si="2"/>
        <v>YES</v>
      </c>
      <c r="I65">
        <v>2.8</v>
      </c>
      <c r="J65" t="str">
        <f>IF(AND(I65&lt;&gt;"", I65&gt;=DASHBOARD!$B$16), G65+ROW()/100000, "")</f>
        <v/>
      </c>
      <c r="K65" t="str">
        <f>IF(AND(F65&gt;=DASHBOARD!$B$31,OR(G65="",G65&lt;=DASHBOARD!$E$31)),F65+ROW()/100000,"")</f>
        <v/>
      </c>
    </row>
    <row r="66" spans="1:11" x14ac:dyDescent="0.35">
      <c r="A66" t="s">
        <v>199</v>
      </c>
      <c r="B66" s="1">
        <v>325</v>
      </c>
      <c r="C66" s="1">
        <v>680</v>
      </c>
      <c r="D66" s="1">
        <f t="shared" si="0"/>
        <v>355</v>
      </c>
      <c r="E66">
        <v>0.52</v>
      </c>
      <c r="F66">
        <f t="shared" si="1"/>
        <v>52</v>
      </c>
      <c r="G66">
        <v>15</v>
      </c>
      <c r="H66" t="str">
        <f t="shared" si="2"/>
        <v>YES</v>
      </c>
      <c r="I66">
        <v>2.7</v>
      </c>
      <c r="J66" t="str">
        <f>IF(AND(I66&lt;&gt;"", I66&gt;=DASHBOARD!$B$16), G66+ROW()/100000, "")</f>
        <v/>
      </c>
      <c r="K66" t="str">
        <f>IF(AND(F66&gt;=DASHBOARD!$B$31,OR(G66="",G66&lt;=DASHBOARD!$E$31)),F66+ROW()/100000,"")</f>
        <v/>
      </c>
    </row>
    <row r="67" spans="1:11" x14ac:dyDescent="0.35">
      <c r="A67" t="s">
        <v>203</v>
      </c>
      <c r="B67" s="1">
        <v>1220</v>
      </c>
      <c r="C67" s="1">
        <v>1555</v>
      </c>
      <c r="D67" s="1">
        <f t="shared" ref="D67:D116" si="3">C67-B67</f>
        <v>335</v>
      </c>
      <c r="E67">
        <v>0.22</v>
      </c>
      <c r="F67">
        <f t="shared" ref="F67:F116" si="4">E67*100</f>
        <v>22</v>
      </c>
      <c r="G67">
        <v>16</v>
      </c>
      <c r="H67" t="str">
        <f t="shared" ref="H67:H116" si="5">IF(ISBLANK(G67),"NO","YES")</f>
        <v>YES</v>
      </c>
      <c r="I67">
        <v>2.9</v>
      </c>
      <c r="J67" t="str">
        <f>IF(AND(I67&lt;&gt;"", I67&gt;=DASHBOARD!$B$16), G67+ROW()/100000, "")</f>
        <v/>
      </c>
      <c r="K67" t="str">
        <f>IF(AND(F67&gt;=DASHBOARD!$B$31,OR(G67="",G67&lt;=DASHBOARD!$E$31)),F67+ROW()/100000,"")</f>
        <v/>
      </c>
    </row>
    <row r="68" spans="1:11" x14ac:dyDescent="0.35">
      <c r="A68" t="s">
        <v>207</v>
      </c>
      <c r="B68" s="1">
        <v>990</v>
      </c>
      <c r="C68" s="1">
        <v>1814</v>
      </c>
      <c r="D68" s="1">
        <f t="shared" si="3"/>
        <v>824</v>
      </c>
      <c r="E68">
        <v>0.45</v>
      </c>
      <c r="F68">
        <f t="shared" si="4"/>
        <v>45</v>
      </c>
      <c r="G68">
        <v>6</v>
      </c>
      <c r="H68" t="str">
        <f t="shared" si="5"/>
        <v>YES</v>
      </c>
      <c r="I68">
        <v>2.2000000000000002</v>
      </c>
      <c r="J68" t="str">
        <f>IF(AND(I68&lt;&gt;"", I68&gt;=DASHBOARD!$B$16), G68+ROW()/100000, "")</f>
        <v/>
      </c>
      <c r="K68" t="str">
        <f>IF(AND(F68&gt;=DASHBOARD!$B$31,OR(G68="",G68&lt;=DASHBOARD!$E$31)),F68+ROW()/100000,"")</f>
        <v/>
      </c>
    </row>
    <row r="69" spans="1:11" x14ac:dyDescent="0.35">
      <c r="A69" t="s">
        <v>210</v>
      </c>
      <c r="B69" s="1">
        <v>1000</v>
      </c>
      <c r="C69" s="1">
        <v>2000</v>
      </c>
      <c r="D69" s="1">
        <f t="shared" si="3"/>
        <v>1000</v>
      </c>
      <c r="E69">
        <v>0.5</v>
      </c>
      <c r="F69">
        <f t="shared" si="4"/>
        <v>50</v>
      </c>
      <c r="G69">
        <v>7</v>
      </c>
      <c r="H69" t="str">
        <f t="shared" si="5"/>
        <v>YES</v>
      </c>
      <c r="I69">
        <v>2.2999999999999998</v>
      </c>
      <c r="J69" t="str">
        <f>IF(AND(I69&lt;&gt;"", I69&gt;=DASHBOARD!$B$16), G69+ROW()/100000, "")</f>
        <v/>
      </c>
      <c r="K69" t="str">
        <f>IF(AND(F69&gt;=DASHBOARD!$B$31,OR(G69="",G69&lt;=DASHBOARD!$E$31)),F69+ROW()/100000,"")</f>
        <v/>
      </c>
    </row>
    <row r="70" spans="1:11" x14ac:dyDescent="0.35">
      <c r="A70" t="s">
        <v>213</v>
      </c>
      <c r="B70" s="1">
        <v>3750</v>
      </c>
      <c r="C70" s="1">
        <v>6143</v>
      </c>
      <c r="D70" s="1">
        <f t="shared" si="3"/>
        <v>2393</v>
      </c>
      <c r="E70">
        <v>0.39</v>
      </c>
      <c r="F70">
        <f t="shared" si="4"/>
        <v>39</v>
      </c>
      <c r="G70">
        <v>5</v>
      </c>
      <c r="H70" t="str">
        <f t="shared" si="5"/>
        <v>YES</v>
      </c>
      <c r="I70">
        <v>3</v>
      </c>
      <c r="J70" t="str">
        <f>IF(AND(I70&lt;&gt;"", I70&gt;=DASHBOARD!$B$16), G70+ROW()/100000, "")</f>
        <v/>
      </c>
      <c r="K70" t="str">
        <f>IF(AND(F70&gt;=DASHBOARD!$B$31,OR(G70="",G70&lt;=DASHBOARD!$E$31)),F70+ROW()/100000,"")</f>
        <v/>
      </c>
    </row>
    <row r="71" spans="1:11" x14ac:dyDescent="0.35">
      <c r="A71" t="s">
        <v>216</v>
      </c>
      <c r="B71" s="1">
        <v>382</v>
      </c>
      <c r="C71" s="1">
        <v>700</v>
      </c>
      <c r="D71" s="1">
        <f t="shared" si="3"/>
        <v>318</v>
      </c>
      <c r="E71">
        <v>0.45</v>
      </c>
      <c r="F71">
        <f t="shared" si="4"/>
        <v>45</v>
      </c>
      <c r="G71">
        <v>17</v>
      </c>
      <c r="H71" t="str">
        <f t="shared" si="5"/>
        <v>YES</v>
      </c>
      <c r="I71">
        <v>2.6</v>
      </c>
      <c r="J71" t="str">
        <f>IF(AND(I71&lt;&gt;"", I71&gt;=DASHBOARD!$B$16), G71+ROW()/100000, "")</f>
        <v/>
      </c>
      <c r="K71" t="str">
        <f>IF(AND(F71&gt;=DASHBOARD!$B$31,OR(G71="",G71&lt;=DASHBOARD!$E$31)),F71+ROW()/100000,"")</f>
        <v/>
      </c>
    </row>
    <row r="72" spans="1:11" x14ac:dyDescent="0.35">
      <c r="A72" t="s">
        <v>219</v>
      </c>
      <c r="B72" s="1">
        <v>2300</v>
      </c>
      <c r="C72" s="1">
        <v>3240</v>
      </c>
      <c r="D72" s="1">
        <f t="shared" si="3"/>
        <v>940</v>
      </c>
      <c r="E72">
        <v>0.28999999999999998</v>
      </c>
      <c r="F72">
        <f t="shared" si="4"/>
        <v>28.999999999999996</v>
      </c>
      <c r="G72">
        <v>5</v>
      </c>
      <c r="H72" t="str">
        <f t="shared" si="5"/>
        <v>YES</v>
      </c>
      <c r="I72">
        <v>3</v>
      </c>
      <c r="J72" t="str">
        <f>IF(AND(I72&lt;&gt;"", I72&gt;=DASHBOARD!$B$16), G72+ROW()/100000, "")</f>
        <v/>
      </c>
      <c r="K72" t="str">
        <f>IF(AND(F72&gt;=DASHBOARD!$B$31,OR(G72="",G72&lt;=DASHBOARD!$E$31)),F72+ROW()/100000,"")</f>
        <v/>
      </c>
    </row>
    <row r="73" spans="1:11" x14ac:dyDescent="0.35">
      <c r="A73" t="s">
        <v>222</v>
      </c>
      <c r="B73" s="1">
        <v>345</v>
      </c>
      <c r="C73" s="1">
        <v>602</v>
      </c>
      <c r="D73" s="1">
        <f t="shared" si="3"/>
        <v>257</v>
      </c>
      <c r="E73">
        <v>0.43</v>
      </c>
      <c r="F73">
        <f t="shared" si="4"/>
        <v>43</v>
      </c>
      <c r="G73">
        <v>6</v>
      </c>
      <c r="H73" t="str">
        <f t="shared" si="5"/>
        <v>YES</v>
      </c>
      <c r="I73">
        <v>2.2999999999999998</v>
      </c>
      <c r="J73" t="str">
        <f>IF(AND(I73&lt;&gt;"", I73&gt;=DASHBOARD!$B$16), G73+ROW()/100000, "")</f>
        <v/>
      </c>
      <c r="K73" t="str">
        <f>IF(AND(F73&gt;=DASHBOARD!$B$31,OR(G73="",G73&lt;=DASHBOARD!$E$31)),F73+ROW()/100000,"")</f>
        <v/>
      </c>
    </row>
    <row r="74" spans="1:11" x14ac:dyDescent="0.35">
      <c r="A74" t="s">
        <v>225</v>
      </c>
      <c r="B74" s="1">
        <v>509</v>
      </c>
      <c r="C74" s="1">
        <v>899</v>
      </c>
      <c r="D74" s="1">
        <f t="shared" si="3"/>
        <v>390</v>
      </c>
      <c r="E74">
        <v>0.43</v>
      </c>
      <c r="F74">
        <f t="shared" si="4"/>
        <v>43</v>
      </c>
      <c r="G74">
        <v>5</v>
      </c>
      <c r="H74" t="str">
        <f t="shared" si="5"/>
        <v>YES</v>
      </c>
      <c r="I74">
        <v>3</v>
      </c>
      <c r="J74" t="str">
        <f>IF(AND(I74&lt;&gt;"", I74&gt;=DASHBOARD!$B$16), G74+ROW()/100000, "")</f>
        <v/>
      </c>
      <c r="K74" t="str">
        <f>IF(AND(F74&gt;=DASHBOARD!$B$31,OR(G74="",G74&lt;=DASHBOARD!$E$31)),F74+ROW()/100000,"")</f>
        <v/>
      </c>
    </row>
    <row r="75" spans="1:11" x14ac:dyDescent="0.35">
      <c r="A75" t="s">
        <v>228</v>
      </c>
      <c r="B75" s="1">
        <v>968</v>
      </c>
      <c r="C75" s="1">
        <v>1814</v>
      </c>
      <c r="D75" s="1">
        <f t="shared" si="3"/>
        <v>846</v>
      </c>
      <c r="E75">
        <v>0.47</v>
      </c>
      <c r="F75">
        <f t="shared" si="4"/>
        <v>47</v>
      </c>
      <c r="G75">
        <v>6</v>
      </c>
      <c r="H75" t="str">
        <f t="shared" si="5"/>
        <v>YES</v>
      </c>
      <c r="I75">
        <v>2.2000000000000002</v>
      </c>
      <c r="J75" t="str">
        <f>IF(AND(I75&lt;&gt;"", I75&gt;=DASHBOARD!$B$16), G75+ROW()/100000, "")</f>
        <v/>
      </c>
      <c r="K75" t="str">
        <f>IF(AND(F75&gt;=DASHBOARD!$B$31,OR(G75="",G75&lt;=DASHBOARD!$E$31)),F75+ROW()/100000,"")</f>
        <v/>
      </c>
    </row>
    <row r="76" spans="1:11" x14ac:dyDescent="0.35">
      <c r="A76" t="s">
        <v>230</v>
      </c>
      <c r="B76" s="1">
        <v>1570</v>
      </c>
      <c r="C76" s="1">
        <v>2988</v>
      </c>
      <c r="D76" s="1">
        <f t="shared" si="3"/>
        <v>1418</v>
      </c>
      <c r="E76">
        <v>0.47</v>
      </c>
      <c r="F76">
        <f t="shared" si="4"/>
        <v>47</v>
      </c>
      <c r="G76">
        <v>7</v>
      </c>
      <c r="H76" t="str">
        <f t="shared" si="5"/>
        <v>YES</v>
      </c>
      <c r="I76">
        <v>2.1</v>
      </c>
      <c r="J76" t="str">
        <f>IF(AND(I76&lt;&gt;"", I76&gt;=DASHBOARD!$B$16), G76+ROW()/100000, "")</f>
        <v/>
      </c>
      <c r="K76" t="str">
        <f>IF(AND(F76&gt;=DASHBOARD!$B$31,OR(G76="",G76&lt;=DASHBOARD!$E$31)),F76+ROW()/100000,"")</f>
        <v/>
      </c>
    </row>
    <row r="77" spans="1:11" x14ac:dyDescent="0.35">
      <c r="A77" t="s">
        <v>233</v>
      </c>
      <c r="B77" s="1">
        <v>790</v>
      </c>
      <c r="C77" s="1">
        <v>1485</v>
      </c>
      <c r="D77" s="1">
        <f t="shared" si="3"/>
        <v>695</v>
      </c>
      <c r="E77">
        <v>0.47</v>
      </c>
      <c r="F77">
        <f t="shared" si="4"/>
        <v>47</v>
      </c>
      <c r="H77" t="str">
        <f t="shared" si="5"/>
        <v>NO</v>
      </c>
      <c r="I77" t="s">
        <v>78</v>
      </c>
      <c r="J77" t="str">
        <f>IF(AND(I77&lt;&gt;"", I77&gt;=DASHBOARD!$B$16), G77+ROW()/100000, "")</f>
        <v/>
      </c>
      <c r="K77">
        <f>IF(AND(F77&gt;=DASHBOARD!$B$31,OR(G77="",G77&lt;=DASHBOARD!$E$31)),F77+ROW()/100000,"")</f>
        <v>47.000770000000003</v>
      </c>
    </row>
    <row r="78" spans="1:11" x14ac:dyDescent="0.35">
      <c r="A78" t="s">
        <v>236</v>
      </c>
      <c r="B78" s="1">
        <v>690</v>
      </c>
      <c r="C78" s="1">
        <v>1200</v>
      </c>
      <c r="D78" s="1">
        <f t="shared" si="3"/>
        <v>510</v>
      </c>
      <c r="E78">
        <v>0.43</v>
      </c>
      <c r="F78">
        <f t="shared" si="4"/>
        <v>43</v>
      </c>
      <c r="H78" t="str">
        <f t="shared" si="5"/>
        <v>NO</v>
      </c>
      <c r="I78" t="s">
        <v>78</v>
      </c>
      <c r="J78" t="str">
        <f>IF(AND(I78&lt;&gt;"", I78&gt;=DASHBOARD!$B$16), G78+ROW()/100000, "")</f>
        <v/>
      </c>
      <c r="K78">
        <f>IF(AND(F78&gt;=DASHBOARD!$B$31,OR(G78="",G78&lt;=DASHBOARD!$E$31)),F78+ROW()/100000,"")</f>
        <v>43.000779999999999</v>
      </c>
    </row>
    <row r="79" spans="1:11" x14ac:dyDescent="0.35">
      <c r="A79" t="s">
        <v>238</v>
      </c>
      <c r="B79" s="1">
        <v>1732</v>
      </c>
      <c r="C79" s="1">
        <v>1799</v>
      </c>
      <c r="D79" s="1">
        <f t="shared" si="3"/>
        <v>67</v>
      </c>
      <c r="E79">
        <v>0.04</v>
      </c>
      <c r="F79">
        <f t="shared" si="4"/>
        <v>4</v>
      </c>
      <c r="H79" t="str">
        <f t="shared" si="5"/>
        <v>NO</v>
      </c>
      <c r="I79" t="s">
        <v>78</v>
      </c>
      <c r="J79" t="str">
        <f>IF(AND(I79&lt;&gt;"", I79&gt;=DASHBOARD!$B$16), G79+ROW()/100000, "")</f>
        <v/>
      </c>
      <c r="K79" t="str">
        <f>IF(AND(F79&gt;=DASHBOARD!$B$31,OR(G79="",G79&lt;=DASHBOARD!$E$31)),F79+ROW()/100000,"")</f>
        <v/>
      </c>
    </row>
    <row r="80" spans="1:11" x14ac:dyDescent="0.35">
      <c r="A80" t="s">
        <v>241</v>
      </c>
      <c r="B80" s="1">
        <v>230</v>
      </c>
      <c r="C80" s="1">
        <v>450</v>
      </c>
      <c r="D80" s="1">
        <f t="shared" si="3"/>
        <v>220</v>
      </c>
      <c r="E80">
        <v>0.49</v>
      </c>
      <c r="F80">
        <f t="shared" si="4"/>
        <v>49</v>
      </c>
      <c r="H80" t="str">
        <f t="shared" si="5"/>
        <v>NO</v>
      </c>
      <c r="I80" t="s">
        <v>78</v>
      </c>
      <c r="J80" t="str">
        <f>IF(AND(I80&lt;&gt;"", I80&gt;=DASHBOARD!$B$16), G80+ROW()/100000, "")</f>
        <v/>
      </c>
      <c r="K80">
        <f>IF(AND(F80&gt;=DASHBOARD!$B$31,OR(G80="",G80&lt;=DASHBOARD!$E$31)),F80+ROW()/100000,"")</f>
        <v>49.000799999999998</v>
      </c>
    </row>
    <row r="81" spans="1:11" x14ac:dyDescent="0.35">
      <c r="A81" t="s">
        <v>244</v>
      </c>
      <c r="B81" s="1">
        <v>1189</v>
      </c>
      <c r="C81" s="1">
        <v>2199</v>
      </c>
      <c r="D81" s="1">
        <f t="shared" si="3"/>
        <v>1010</v>
      </c>
      <c r="E81">
        <v>0.46</v>
      </c>
      <c r="F81">
        <f t="shared" si="4"/>
        <v>46</v>
      </c>
      <c r="G81">
        <v>1</v>
      </c>
      <c r="H81" t="str">
        <f t="shared" si="5"/>
        <v>YES</v>
      </c>
      <c r="I81">
        <v>3</v>
      </c>
      <c r="J81" t="str">
        <f>IF(AND(I81&lt;&gt;"", I81&gt;=DASHBOARD!$B$16), G81+ROW()/100000, "")</f>
        <v/>
      </c>
      <c r="K81">
        <f>IF(AND(F81&gt;=DASHBOARD!$B$31,OR(G81="",G81&lt;=DASHBOARD!$E$31)),F81+ROW()/100000,"")</f>
        <v>46.000810000000001</v>
      </c>
    </row>
    <row r="82" spans="1:11" x14ac:dyDescent="0.35">
      <c r="A82" t="s">
        <v>246</v>
      </c>
      <c r="B82" s="1">
        <v>979</v>
      </c>
      <c r="C82" s="1">
        <v>1920</v>
      </c>
      <c r="D82" s="1">
        <f t="shared" si="3"/>
        <v>941</v>
      </c>
      <c r="E82">
        <v>0.49</v>
      </c>
      <c r="F82">
        <f t="shared" si="4"/>
        <v>49</v>
      </c>
      <c r="G82">
        <v>1</v>
      </c>
      <c r="H82" t="str">
        <f t="shared" si="5"/>
        <v>YES</v>
      </c>
      <c r="I82">
        <v>5</v>
      </c>
      <c r="J82">
        <f>IF(AND(I82&lt;&gt;"", I82&gt;=DASHBOARD!$B$16), G82+ROW()/100000, "")</f>
        <v>1.00082</v>
      </c>
      <c r="K82">
        <f>IF(AND(F82&gt;=DASHBOARD!$B$31,OR(G82="",G82&lt;=DASHBOARD!$E$31)),F82+ROW()/100000,"")</f>
        <v>49.000819999999997</v>
      </c>
    </row>
    <row r="83" spans="1:11" x14ac:dyDescent="0.35">
      <c r="A83" t="s">
        <v>249</v>
      </c>
      <c r="B83" s="1">
        <v>1460</v>
      </c>
      <c r="C83" s="1">
        <v>2290</v>
      </c>
      <c r="D83" s="1">
        <f t="shared" si="3"/>
        <v>830</v>
      </c>
      <c r="E83">
        <v>0.36</v>
      </c>
      <c r="F83">
        <f t="shared" si="4"/>
        <v>36</v>
      </c>
      <c r="H83" t="str">
        <f t="shared" si="5"/>
        <v>NO</v>
      </c>
      <c r="I83" t="s">
        <v>78</v>
      </c>
      <c r="J83" t="str">
        <f>IF(AND(I83&lt;&gt;"", I83&gt;=DASHBOARD!$B$16), G83+ROW()/100000, "")</f>
        <v/>
      </c>
      <c r="K83" t="str">
        <f>IF(AND(F83&gt;=DASHBOARD!$B$31,OR(G83="",G83&lt;=DASHBOARD!$E$31)),F83+ROW()/100000,"")</f>
        <v/>
      </c>
    </row>
    <row r="84" spans="1:11" x14ac:dyDescent="0.35">
      <c r="A84" t="s">
        <v>252</v>
      </c>
      <c r="B84" s="1">
        <v>1666</v>
      </c>
      <c r="C84" s="1">
        <v>1699</v>
      </c>
      <c r="D84" s="1">
        <f t="shared" si="3"/>
        <v>33</v>
      </c>
      <c r="E84">
        <v>0.02</v>
      </c>
      <c r="F84">
        <f t="shared" si="4"/>
        <v>2</v>
      </c>
      <c r="H84" t="str">
        <f t="shared" si="5"/>
        <v>NO</v>
      </c>
      <c r="I84" t="s">
        <v>78</v>
      </c>
      <c r="J84" t="str">
        <f>IF(AND(I84&lt;&gt;"", I84&gt;=DASHBOARD!$B$16), G84+ROW()/100000, "")</f>
        <v/>
      </c>
      <c r="K84" t="str">
        <f>IF(AND(F84&gt;=DASHBOARD!$B$31,OR(G84="",G84&lt;=DASHBOARD!$E$31)),F84+ROW()/100000,"")</f>
        <v/>
      </c>
    </row>
    <row r="85" spans="1:11" x14ac:dyDescent="0.35">
      <c r="A85" t="s">
        <v>254</v>
      </c>
      <c r="B85" s="1">
        <v>330</v>
      </c>
      <c r="C85" s="1">
        <v>647</v>
      </c>
      <c r="D85" s="1">
        <f t="shared" si="3"/>
        <v>317</v>
      </c>
      <c r="E85">
        <v>0.49</v>
      </c>
      <c r="F85">
        <f t="shared" si="4"/>
        <v>49</v>
      </c>
      <c r="G85">
        <v>1</v>
      </c>
      <c r="H85" t="str">
        <f t="shared" si="5"/>
        <v>YES</v>
      </c>
      <c r="I85">
        <v>4</v>
      </c>
      <c r="J85" t="str">
        <f>IF(AND(I85&lt;&gt;"", I85&gt;=DASHBOARD!$B$16), G85+ROW()/100000, "")</f>
        <v/>
      </c>
      <c r="K85">
        <f>IF(AND(F85&gt;=DASHBOARD!$B$31,OR(G85="",G85&lt;=DASHBOARD!$E$31)),F85+ROW()/100000,"")</f>
        <v>49.00085</v>
      </c>
    </row>
    <row r="86" spans="1:11" x14ac:dyDescent="0.35">
      <c r="A86" t="s">
        <v>138</v>
      </c>
      <c r="B86" s="1">
        <v>610</v>
      </c>
      <c r="C86" s="1">
        <v>1060</v>
      </c>
      <c r="D86" s="1">
        <f t="shared" si="3"/>
        <v>450</v>
      </c>
      <c r="E86">
        <v>0.42</v>
      </c>
      <c r="F86">
        <f t="shared" si="4"/>
        <v>42</v>
      </c>
      <c r="H86" t="str">
        <f t="shared" si="5"/>
        <v>NO</v>
      </c>
      <c r="I86" t="s">
        <v>78</v>
      </c>
      <c r="J86" t="str">
        <f>IF(AND(I86&lt;&gt;"", I86&gt;=DASHBOARD!$B$16), G86+ROW()/100000, "")</f>
        <v/>
      </c>
      <c r="K86">
        <f>IF(AND(F86&gt;=DASHBOARD!$B$31,OR(G86="",G86&lt;=DASHBOARD!$E$31)),F86+ROW()/100000,"")</f>
        <v>42.000860000000003</v>
      </c>
    </row>
    <row r="87" spans="1:11" x14ac:dyDescent="0.35">
      <c r="A87" t="s">
        <v>155</v>
      </c>
      <c r="B87" s="1">
        <v>176</v>
      </c>
      <c r="C87" s="1">
        <v>345</v>
      </c>
      <c r="D87" s="1">
        <f t="shared" si="3"/>
        <v>169</v>
      </c>
      <c r="E87">
        <v>0.49</v>
      </c>
      <c r="F87">
        <f t="shared" si="4"/>
        <v>49</v>
      </c>
      <c r="H87" t="str">
        <f t="shared" si="5"/>
        <v>NO</v>
      </c>
      <c r="I87" t="s">
        <v>78</v>
      </c>
      <c r="J87" t="str">
        <f>IF(AND(I87&lt;&gt;"", I87&gt;=DASHBOARD!$B$16), G87+ROW()/100000, "")</f>
        <v/>
      </c>
      <c r="K87">
        <f>IF(AND(F87&gt;=DASHBOARD!$B$31,OR(G87="",G87&lt;=DASHBOARD!$E$31)),F87+ROW()/100000,"")</f>
        <v>49.000869999999999</v>
      </c>
    </row>
    <row r="88" spans="1:11" x14ac:dyDescent="0.35">
      <c r="A88" t="s">
        <v>257</v>
      </c>
      <c r="B88" s="1">
        <v>1466</v>
      </c>
      <c r="C88" s="1">
        <v>1699</v>
      </c>
      <c r="D88" s="1">
        <f t="shared" si="3"/>
        <v>233</v>
      </c>
      <c r="E88">
        <v>0.14000000000000001</v>
      </c>
      <c r="F88">
        <f t="shared" si="4"/>
        <v>14.000000000000002</v>
      </c>
      <c r="H88" t="str">
        <f t="shared" si="5"/>
        <v>NO</v>
      </c>
      <c r="I88" t="s">
        <v>78</v>
      </c>
      <c r="J88" t="str">
        <f>IF(AND(I88&lt;&gt;"", I88&gt;=DASHBOARD!$B$16), G88+ROW()/100000, "")</f>
        <v/>
      </c>
      <c r="K88" t="str">
        <f>IF(AND(F88&gt;=DASHBOARD!$B$31,OR(G88="",G88&lt;=DASHBOARD!$E$31)),F88+ROW()/100000,"")</f>
        <v/>
      </c>
    </row>
    <row r="89" spans="1:11" x14ac:dyDescent="0.35">
      <c r="A89" t="s">
        <v>259</v>
      </c>
      <c r="B89" s="1">
        <v>274</v>
      </c>
      <c r="C89" s="1">
        <v>537</v>
      </c>
      <c r="D89" s="1">
        <f t="shared" si="3"/>
        <v>263</v>
      </c>
      <c r="E89">
        <v>0.49</v>
      </c>
      <c r="F89">
        <f t="shared" si="4"/>
        <v>49</v>
      </c>
      <c r="H89" t="str">
        <f t="shared" si="5"/>
        <v>NO</v>
      </c>
      <c r="I89" t="s">
        <v>78</v>
      </c>
      <c r="J89" t="str">
        <f>IF(AND(I89&lt;&gt;"", I89&gt;=DASHBOARD!$B$16), G89+ROW()/100000, "")</f>
        <v/>
      </c>
      <c r="K89">
        <f>IF(AND(F89&gt;=DASHBOARD!$B$31,OR(G89="",G89&lt;=DASHBOARD!$E$31)),F89+ROW()/100000,"")</f>
        <v>49.000889999999998</v>
      </c>
    </row>
    <row r="90" spans="1:11" x14ac:dyDescent="0.35">
      <c r="A90" t="s">
        <v>262</v>
      </c>
      <c r="B90" s="1">
        <v>799</v>
      </c>
      <c r="C90" s="1">
        <v>900</v>
      </c>
      <c r="D90" s="1">
        <f t="shared" si="3"/>
        <v>101</v>
      </c>
      <c r="E90">
        <v>0.11</v>
      </c>
      <c r="F90">
        <f t="shared" si="4"/>
        <v>11</v>
      </c>
      <c r="H90" t="str">
        <f t="shared" si="5"/>
        <v>NO</v>
      </c>
      <c r="I90" t="s">
        <v>78</v>
      </c>
      <c r="J90" t="str">
        <f>IF(AND(I90&lt;&gt;"", I90&gt;=DASHBOARD!$B$16), G90+ROW()/100000, "")</f>
        <v/>
      </c>
      <c r="K90" t="str">
        <f>IF(AND(F90&gt;=DASHBOARD!$B$31,OR(G90="",G90&lt;=DASHBOARD!$E$31)),F90+ROW()/100000,"")</f>
        <v/>
      </c>
    </row>
    <row r="91" spans="1:11" x14ac:dyDescent="0.35">
      <c r="A91" t="s">
        <v>176</v>
      </c>
      <c r="B91" s="1">
        <v>657</v>
      </c>
      <c r="C91" s="1">
        <v>1288</v>
      </c>
      <c r="D91" s="1">
        <f t="shared" si="3"/>
        <v>631</v>
      </c>
      <c r="E91">
        <v>0.49</v>
      </c>
      <c r="F91">
        <f t="shared" si="4"/>
        <v>49</v>
      </c>
      <c r="H91" t="str">
        <f t="shared" si="5"/>
        <v>NO</v>
      </c>
      <c r="I91" t="s">
        <v>78</v>
      </c>
      <c r="J91" t="str">
        <f>IF(AND(I91&lt;&gt;"", I91&gt;=DASHBOARD!$B$16), G91+ROW()/100000, "")</f>
        <v/>
      </c>
      <c r="K91">
        <f>IF(AND(F91&gt;=DASHBOARD!$B$31,OR(G91="",G91&lt;=DASHBOARD!$E$31)),F91+ROW()/100000,"")</f>
        <v>49.000909999999998</v>
      </c>
    </row>
    <row r="92" spans="1:11" x14ac:dyDescent="0.35">
      <c r="A92" t="s">
        <v>265</v>
      </c>
      <c r="B92" s="1">
        <v>1468</v>
      </c>
      <c r="C92" s="1">
        <v>1699</v>
      </c>
      <c r="D92" s="1">
        <f t="shared" si="3"/>
        <v>231</v>
      </c>
      <c r="E92">
        <v>0.14000000000000001</v>
      </c>
      <c r="F92">
        <f t="shared" si="4"/>
        <v>14.000000000000002</v>
      </c>
      <c r="H92" t="str">
        <f t="shared" si="5"/>
        <v>NO</v>
      </c>
      <c r="I92" t="s">
        <v>78</v>
      </c>
      <c r="J92" t="str">
        <f>IF(AND(I92&lt;&gt;"", I92&gt;=DASHBOARD!$B$16), G92+ROW()/100000, "")</f>
        <v/>
      </c>
      <c r="K92" t="str">
        <f>IF(AND(F92&gt;=DASHBOARD!$B$31,OR(G92="",G92&lt;=DASHBOARD!$E$31)),F92+ROW()/100000,"")</f>
        <v/>
      </c>
    </row>
    <row r="93" spans="1:11" x14ac:dyDescent="0.35">
      <c r="A93" t="s">
        <v>267</v>
      </c>
      <c r="B93" s="1">
        <v>630</v>
      </c>
      <c r="C93" s="1">
        <v>1100</v>
      </c>
      <c r="D93" s="1">
        <f t="shared" si="3"/>
        <v>470</v>
      </c>
      <c r="E93">
        <v>0.43</v>
      </c>
      <c r="F93">
        <f t="shared" si="4"/>
        <v>43</v>
      </c>
      <c r="H93" t="str">
        <f t="shared" si="5"/>
        <v>NO</v>
      </c>
      <c r="I93" t="s">
        <v>78</v>
      </c>
      <c r="J93" t="str">
        <f>IF(AND(I93&lt;&gt;"", I93&gt;=DASHBOARD!$B$16), G93+ROW()/100000, "")</f>
        <v/>
      </c>
      <c r="K93">
        <f>IF(AND(F93&gt;=DASHBOARD!$B$31,OR(G93="",G93&lt;=DASHBOARD!$E$31)),F93+ROW()/100000,"")</f>
        <v>43.000929999999997</v>
      </c>
    </row>
    <row r="94" spans="1:11" x14ac:dyDescent="0.35">
      <c r="A94" t="s">
        <v>270</v>
      </c>
      <c r="B94" s="1">
        <v>850</v>
      </c>
      <c r="C94" s="1">
        <v>1700</v>
      </c>
      <c r="D94" s="1">
        <f t="shared" si="3"/>
        <v>850</v>
      </c>
      <c r="E94">
        <v>0.5</v>
      </c>
      <c r="F94">
        <f t="shared" si="4"/>
        <v>50</v>
      </c>
      <c r="H94" t="str">
        <f t="shared" si="5"/>
        <v>NO</v>
      </c>
      <c r="I94" t="s">
        <v>78</v>
      </c>
      <c r="J94" t="str">
        <f>IF(AND(I94&lt;&gt;"", I94&gt;=DASHBOARD!$B$16), G94+ROW()/100000, "")</f>
        <v/>
      </c>
      <c r="K94">
        <f>IF(AND(F94&gt;=DASHBOARD!$B$31,OR(G94="",G94&lt;=DASHBOARD!$E$31)),F94+ROW()/100000,"")</f>
        <v>50.00094</v>
      </c>
    </row>
    <row r="95" spans="1:11" x14ac:dyDescent="0.35">
      <c r="A95" t="s">
        <v>273</v>
      </c>
      <c r="B95" s="1">
        <v>1300</v>
      </c>
      <c r="C95" s="1">
        <v>2500</v>
      </c>
      <c r="D95" s="1">
        <f t="shared" si="3"/>
        <v>1200</v>
      </c>
      <c r="E95">
        <v>0.48</v>
      </c>
      <c r="F95">
        <f t="shared" si="4"/>
        <v>48</v>
      </c>
      <c r="H95" t="str">
        <f t="shared" si="5"/>
        <v>NO</v>
      </c>
      <c r="I95" t="s">
        <v>78</v>
      </c>
      <c r="J95" t="str">
        <f>IF(AND(I95&lt;&gt;"", I95&gt;=DASHBOARD!$B$16), G95+ROW()/100000, "")</f>
        <v/>
      </c>
      <c r="K95">
        <f>IF(AND(F95&gt;=DASHBOARD!$B$31,OR(G95="",G95&lt;=DASHBOARD!$E$31)),F95+ROW()/100000,"")</f>
        <v>48.000950000000003</v>
      </c>
    </row>
    <row r="96" spans="1:11" x14ac:dyDescent="0.35">
      <c r="A96" t="s">
        <v>275</v>
      </c>
      <c r="B96" s="1">
        <v>105</v>
      </c>
      <c r="C96" s="1">
        <v>200</v>
      </c>
      <c r="D96" s="1">
        <f t="shared" si="3"/>
        <v>95</v>
      </c>
      <c r="E96">
        <v>0.48</v>
      </c>
      <c r="F96">
        <f t="shared" si="4"/>
        <v>48</v>
      </c>
      <c r="H96" t="str">
        <f t="shared" si="5"/>
        <v>NO</v>
      </c>
      <c r="I96" t="s">
        <v>78</v>
      </c>
      <c r="J96" t="str">
        <f>IF(AND(I96&lt;&gt;"", I96&gt;=DASHBOARD!$B$16), G96+ROW()/100000, "")</f>
        <v/>
      </c>
      <c r="K96">
        <f>IF(AND(F96&gt;=DASHBOARD!$B$31,OR(G96="",G96&lt;=DASHBOARD!$E$31)),F96+ROW()/100000,"")</f>
        <v>48.000959999999999</v>
      </c>
    </row>
    <row r="97" spans="1:11" x14ac:dyDescent="0.35">
      <c r="A97" t="s">
        <v>278</v>
      </c>
      <c r="B97" s="1">
        <v>899</v>
      </c>
      <c r="C97" s="1">
        <v>1699</v>
      </c>
      <c r="D97" s="1">
        <f t="shared" si="3"/>
        <v>800</v>
      </c>
      <c r="E97">
        <v>0.47</v>
      </c>
      <c r="F97">
        <f t="shared" si="4"/>
        <v>47</v>
      </c>
      <c r="H97" t="str">
        <f t="shared" si="5"/>
        <v>NO</v>
      </c>
      <c r="I97" t="s">
        <v>78</v>
      </c>
      <c r="J97" t="str">
        <f>IF(AND(I97&lt;&gt;"", I97&gt;=DASHBOARD!$B$16), G97+ROW()/100000, "")</f>
        <v/>
      </c>
      <c r="K97">
        <f>IF(AND(F97&gt;=DASHBOARD!$B$31,OR(G97="",G97&lt;=DASHBOARD!$E$31)),F97+ROW()/100000,"")</f>
        <v>47.000970000000002</v>
      </c>
    </row>
    <row r="98" spans="1:11" x14ac:dyDescent="0.35">
      <c r="A98" t="s">
        <v>278</v>
      </c>
      <c r="B98" s="1">
        <v>899</v>
      </c>
      <c r="C98" s="1">
        <v>1699</v>
      </c>
      <c r="D98" s="1">
        <f t="shared" si="3"/>
        <v>800</v>
      </c>
      <c r="E98">
        <v>0.47</v>
      </c>
      <c r="F98">
        <f t="shared" si="4"/>
        <v>47</v>
      </c>
      <c r="H98" t="str">
        <f t="shared" si="5"/>
        <v>NO</v>
      </c>
      <c r="I98" t="s">
        <v>78</v>
      </c>
      <c r="J98" t="str">
        <f>IF(AND(I98&lt;&gt;"", I98&gt;=DASHBOARD!$B$16), G98+ROW()/100000, "")</f>
        <v/>
      </c>
      <c r="K98">
        <f>IF(AND(F98&gt;=DASHBOARD!$B$31,OR(G98="",G98&lt;=DASHBOARD!$E$31)),F98+ROW()/100000,"")</f>
        <v>47.000979999999998</v>
      </c>
    </row>
    <row r="99" spans="1:11" x14ac:dyDescent="0.35">
      <c r="A99" t="s">
        <v>279</v>
      </c>
      <c r="B99" s="1">
        <v>1200</v>
      </c>
      <c r="C99" s="1">
        <v>2400</v>
      </c>
      <c r="D99" s="1">
        <f t="shared" si="3"/>
        <v>1200</v>
      </c>
      <c r="E99">
        <v>0.5</v>
      </c>
      <c r="F99">
        <f t="shared" si="4"/>
        <v>50</v>
      </c>
      <c r="H99" t="str">
        <f t="shared" si="5"/>
        <v>NO</v>
      </c>
      <c r="I99" t="s">
        <v>78</v>
      </c>
      <c r="J99" t="str">
        <f>IF(AND(I99&lt;&gt;"", I99&gt;=DASHBOARD!$B$16), G99+ROW()/100000, "")</f>
        <v/>
      </c>
      <c r="K99">
        <f>IF(AND(F99&gt;=DASHBOARD!$B$31,OR(G99="",G99&lt;=DASHBOARD!$E$31)),F99+ROW()/100000,"")</f>
        <v>50.000990000000002</v>
      </c>
    </row>
    <row r="100" spans="1:11" x14ac:dyDescent="0.35">
      <c r="A100" t="s">
        <v>281</v>
      </c>
      <c r="B100" s="1">
        <v>1526</v>
      </c>
      <c r="C100" s="1">
        <v>1660</v>
      </c>
      <c r="D100" s="1">
        <f t="shared" si="3"/>
        <v>134</v>
      </c>
      <c r="E100">
        <v>0.08</v>
      </c>
      <c r="F100">
        <f t="shared" si="4"/>
        <v>8</v>
      </c>
      <c r="H100" t="str">
        <f t="shared" si="5"/>
        <v>NO</v>
      </c>
      <c r="I100" t="s">
        <v>78</v>
      </c>
      <c r="J100" t="str">
        <f>IF(AND(I100&lt;&gt;"", I100&gt;=DASHBOARD!$B$16), G100+ROW()/100000, "")</f>
        <v/>
      </c>
      <c r="K100" t="str">
        <f>IF(AND(F100&gt;=DASHBOARD!$B$31,OR(G100="",G100&lt;=DASHBOARD!$E$31)),F100+ROW()/100000,"")</f>
        <v/>
      </c>
    </row>
    <row r="101" spans="1:11" x14ac:dyDescent="0.35">
      <c r="A101" t="s">
        <v>283</v>
      </c>
      <c r="B101" s="1">
        <v>1462</v>
      </c>
      <c r="C101" s="1">
        <v>1499</v>
      </c>
      <c r="D101" s="1">
        <f t="shared" si="3"/>
        <v>37</v>
      </c>
      <c r="E101">
        <v>0.02</v>
      </c>
      <c r="F101">
        <f t="shared" si="4"/>
        <v>2</v>
      </c>
      <c r="H101" t="str">
        <f t="shared" si="5"/>
        <v>NO</v>
      </c>
      <c r="I101" t="s">
        <v>78</v>
      </c>
      <c r="J101" t="str">
        <f>IF(AND(I101&lt;&gt;"", I101&gt;=DASHBOARD!$B$16), G101+ROW()/100000, "")</f>
        <v/>
      </c>
      <c r="K101" t="str">
        <f>IF(AND(F101&gt;=DASHBOARD!$B$31,OR(G101="",G101&lt;=DASHBOARD!$E$31)),F101+ROW()/100000,"")</f>
        <v/>
      </c>
    </row>
    <row r="102" spans="1:11" x14ac:dyDescent="0.35">
      <c r="A102" t="s">
        <v>285</v>
      </c>
      <c r="B102" s="1">
        <v>248</v>
      </c>
      <c r="C102" s="1">
        <v>486</v>
      </c>
      <c r="D102" s="1">
        <f t="shared" si="3"/>
        <v>238</v>
      </c>
      <c r="E102">
        <v>0.49</v>
      </c>
      <c r="F102">
        <f t="shared" si="4"/>
        <v>49</v>
      </c>
      <c r="H102" t="str">
        <f t="shared" si="5"/>
        <v>NO</v>
      </c>
      <c r="I102" t="s">
        <v>78</v>
      </c>
      <c r="J102" t="str">
        <f>IF(AND(I102&lt;&gt;"", I102&gt;=DASHBOARD!$B$16), G102+ROW()/100000, "")</f>
        <v/>
      </c>
      <c r="K102">
        <f>IF(AND(F102&gt;=DASHBOARD!$B$31,OR(G102="",G102&lt;=DASHBOARD!$E$31)),F102+ROW()/100000,"")</f>
        <v>49.001019999999997</v>
      </c>
    </row>
    <row r="103" spans="1:11" x14ac:dyDescent="0.35">
      <c r="A103" t="s">
        <v>288</v>
      </c>
      <c r="B103" s="1">
        <v>3546</v>
      </c>
      <c r="C103" s="1">
        <v>3699</v>
      </c>
      <c r="D103" s="1">
        <f t="shared" si="3"/>
        <v>153</v>
      </c>
      <c r="E103">
        <v>0.04</v>
      </c>
      <c r="F103">
        <f t="shared" si="4"/>
        <v>4</v>
      </c>
      <c r="H103" t="str">
        <f t="shared" si="5"/>
        <v>NO</v>
      </c>
      <c r="I103" t="s">
        <v>78</v>
      </c>
      <c r="J103" t="str">
        <f>IF(AND(I103&lt;&gt;"", I103&gt;=DASHBOARD!$B$16), G103+ROW()/100000, "")</f>
        <v/>
      </c>
      <c r="K103" t="str">
        <f>IF(AND(F103&gt;=DASHBOARD!$B$31,OR(G103="",G103&lt;=DASHBOARD!$E$31)),F103+ROW()/100000,"")</f>
        <v/>
      </c>
    </row>
    <row r="104" spans="1:11" x14ac:dyDescent="0.35">
      <c r="A104" t="s">
        <v>290</v>
      </c>
      <c r="B104" s="1">
        <v>525</v>
      </c>
      <c r="C104" s="1">
        <v>1029</v>
      </c>
      <c r="D104" s="1">
        <f t="shared" si="3"/>
        <v>504</v>
      </c>
      <c r="E104">
        <v>0.49</v>
      </c>
      <c r="F104">
        <f t="shared" si="4"/>
        <v>49</v>
      </c>
      <c r="H104" t="str">
        <f t="shared" si="5"/>
        <v>NO</v>
      </c>
      <c r="I104" t="s">
        <v>78</v>
      </c>
      <c r="J104" t="str">
        <f>IF(AND(I104&lt;&gt;"", I104&gt;=DASHBOARD!$B$16), G104+ROW()/100000, "")</f>
        <v/>
      </c>
      <c r="K104">
        <f>IF(AND(F104&gt;=DASHBOARD!$B$31,OR(G104="",G104&lt;=DASHBOARD!$E$31)),F104+ROW()/100000,"")</f>
        <v>49.001040000000003</v>
      </c>
    </row>
    <row r="105" spans="1:11" x14ac:dyDescent="0.35">
      <c r="A105" t="s">
        <v>293</v>
      </c>
      <c r="B105" s="1">
        <v>1080</v>
      </c>
      <c r="C105" s="1">
        <v>1874</v>
      </c>
      <c r="D105" s="1">
        <f t="shared" si="3"/>
        <v>794</v>
      </c>
      <c r="E105">
        <v>0.42</v>
      </c>
      <c r="F105">
        <f t="shared" si="4"/>
        <v>42</v>
      </c>
      <c r="H105" t="str">
        <f t="shared" si="5"/>
        <v>NO</v>
      </c>
      <c r="I105" t="s">
        <v>78</v>
      </c>
      <c r="J105" t="str">
        <f>IF(AND(I105&lt;&gt;"", I105&gt;=DASHBOARD!$B$16), G105+ROW()/100000, "")</f>
        <v/>
      </c>
      <c r="K105">
        <f>IF(AND(F105&gt;=DASHBOARD!$B$31,OR(G105="",G105&lt;=DASHBOARD!$E$31)),F105+ROW()/100000,"")</f>
        <v>42.001049999999999</v>
      </c>
    </row>
    <row r="106" spans="1:11" x14ac:dyDescent="0.35">
      <c r="A106" t="s">
        <v>296</v>
      </c>
      <c r="B106" s="1">
        <v>3640</v>
      </c>
      <c r="C106" s="1">
        <v>4588</v>
      </c>
      <c r="D106" s="1">
        <f t="shared" si="3"/>
        <v>948</v>
      </c>
      <c r="E106">
        <v>0.21</v>
      </c>
      <c r="F106">
        <f t="shared" si="4"/>
        <v>21</v>
      </c>
      <c r="G106">
        <v>1</v>
      </c>
      <c r="H106" t="str">
        <f t="shared" si="5"/>
        <v>YES</v>
      </c>
      <c r="I106">
        <v>5</v>
      </c>
      <c r="J106">
        <f>IF(AND(I106&lt;&gt;"", I106&gt;=DASHBOARD!$B$16), G106+ROW()/100000, "")</f>
        <v>1.0010600000000001</v>
      </c>
      <c r="K106" t="str">
        <f>IF(AND(F106&gt;=DASHBOARD!$B$31,OR(G106="",G106&lt;=DASHBOARD!$E$31)),F106+ROW()/100000,"")</f>
        <v/>
      </c>
    </row>
    <row r="107" spans="1:11" x14ac:dyDescent="0.35">
      <c r="A107" t="s">
        <v>299</v>
      </c>
      <c r="B107" s="1">
        <v>1420</v>
      </c>
      <c r="C107" s="1">
        <v>2420</v>
      </c>
      <c r="D107" s="1">
        <f t="shared" si="3"/>
        <v>1000</v>
      </c>
      <c r="E107">
        <v>0.41</v>
      </c>
      <c r="F107">
        <f t="shared" si="4"/>
        <v>41</v>
      </c>
      <c r="H107" t="str">
        <f t="shared" si="5"/>
        <v>NO</v>
      </c>
      <c r="I107" t="s">
        <v>78</v>
      </c>
      <c r="J107" t="str">
        <f>IF(AND(I107&lt;&gt;"", I107&gt;=DASHBOARD!$B$16), G107+ROW()/100000, "")</f>
        <v/>
      </c>
      <c r="K107">
        <f>IF(AND(F107&gt;=DASHBOARD!$B$31,OR(G107="",G107&lt;=DASHBOARD!$E$31)),F107+ROW()/100000,"")</f>
        <v>41.001069999999999</v>
      </c>
    </row>
    <row r="108" spans="1:11" x14ac:dyDescent="0.35">
      <c r="A108" t="s">
        <v>302</v>
      </c>
      <c r="B108" s="1">
        <v>1875</v>
      </c>
      <c r="C108" s="1">
        <v>1899</v>
      </c>
      <c r="D108" s="1">
        <f t="shared" si="3"/>
        <v>24</v>
      </c>
      <c r="E108">
        <v>0.01</v>
      </c>
      <c r="F108">
        <f t="shared" si="4"/>
        <v>1</v>
      </c>
      <c r="H108" t="str">
        <f t="shared" si="5"/>
        <v>NO</v>
      </c>
      <c r="I108" t="s">
        <v>78</v>
      </c>
      <c r="J108" t="str">
        <f>IF(AND(I108&lt;&gt;"", I108&gt;=DASHBOARD!$B$16), G108+ROW()/100000, "")</f>
        <v/>
      </c>
      <c r="K108" t="str">
        <f>IF(AND(F108&gt;=DASHBOARD!$B$31,OR(G108="",G108&lt;=DASHBOARD!$E$31)),F108+ROW()/100000,"")</f>
        <v/>
      </c>
    </row>
    <row r="109" spans="1:11" x14ac:dyDescent="0.35">
      <c r="A109" t="s">
        <v>305</v>
      </c>
      <c r="B109" s="1">
        <v>198</v>
      </c>
      <c r="C109" s="1">
        <v>260</v>
      </c>
      <c r="D109" s="1">
        <f t="shared" si="3"/>
        <v>62</v>
      </c>
      <c r="E109">
        <v>0.24</v>
      </c>
      <c r="F109">
        <f t="shared" si="4"/>
        <v>24</v>
      </c>
      <c r="H109" t="str">
        <f t="shared" si="5"/>
        <v>NO</v>
      </c>
      <c r="I109" t="s">
        <v>78</v>
      </c>
      <c r="J109" t="str">
        <f>IF(AND(I109&lt;&gt;"", I109&gt;=DASHBOARD!$B$16), G109+ROW()/100000, "")</f>
        <v/>
      </c>
      <c r="K109" t="str">
        <f>IF(AND(F109&gt;=DASHBOARD!$B$31,OR(G109="",G109&lt;=DASHBOARD!$E$31)),F109+ROW()/100000,"")</f>
        <v/>
      </c>
    </row>
    <row r="110" spans="1:11" x14ac:dyDescent="0.35">
      <c r="A110" t="s">
        <v>308</v>
      </c>
      <c r="B110" s="1">
        <v>1150</v>
      </c>
      <c r="C110" s="1">
        <v>1737</v>
      </c>
      <c r="D110" s="1">
        <f t="shared" si="3"/>
        <v>587</v>
      </c>
      <c r="E110">
        <v>0.34</v>
      </c>
      <c r="F110">
        <f t="shared" si="4"/>
        <v>34</v>
      </c>
      <c r="H110" t="str">
        <f t="shared" si="5"/>
        <v>NO</v>
      </c>
      <c r="I110" t="s">
        <v>78</v>
      </c>
      <c r="J110" t="str">
        <f>IF(AND(I110&lt;&gt;"", I110&gt;=DASHBOARD!$B$16), G110+ROW()/100000, "")</f>
        <v/>
      </c>
      <c r="K110" t="str">
        <f>IF(AND(F110&gt;=DASHBOARD!$B$31,OR(G110="",G110&lt;=DASHBOARD!$E$31)),F110+ROW()/100000,"")</f>
        <v/>
      </c>
    </row>
    <row r="111" spans="1:11" x14ac:dyDescent="0.35">
      <c r="A111" t="s">
        <v>311</v>
      </c>
      <c r="B111" s="1">
        <v>1190</v>
      </c>
      <c r="C111" s="1">
        <v>1810</v>
      </c>
      <c r="D111" s="1">
        <f t="shared" si="3"/>
        <v>620</v>
      </c>
      <c r="E111">
        <v>0.34</v>
      </c>
      <c r="F111">
        <f t="shared" si="4"/>
        <v>34</v>
      </c>
      <c r="H111" t="str">
        <f t="shared" si="5"/>
        <v>NO</v>
      </c>
      <c r="I111" t="s">
        <v>78</v>
      </c>
      <c r="J111" t="str">
        <f>IF(AND(I111&lt;&gt;"", I111&gt;=DASHBOARD!$B$16), G111+ROW()/100000, "")</f>
        <v/>
      </c>
      <c r="K111" t="str">
        <f>IF(AND(F111&gt;=DASHBOARD!$B$31,OR(G111="",G111&lt;=DASHBOARD!$E$31)),F111+ROW()/100000,"")</f>
        <v/>
      </c>
    </row>
    <row r="112" spans="1:11" x14ac:dyDescent="0.35">
      <c r="A112" t="s">
        <v>313</v>
      </c>
      <c r="B112" s="1">
        <v>1658</v>
      </c>
      <c r="C112" s="1">
        <v>1699</v>
      </c>
      <c r="D112" s="1">
        <f t="shared" si="3"/>
        <v>41</v>
      </c>
      <c r="E112">
        <v>0.02</v>
      </c>
      <c r="F112">
        <f t="shared" si="4"/>
        <v>2</v>
      </c>
      <c r="H112" t="str">
        <f t="shared" si="5"/>
        <v>NO</v>
      </c>
      <c r="I112" t="s">
        <v>78</v>
      </c>
      <c r="J112" t="str">
        <f>IF(AND(I112&lt;&gt;"", I112&gt;=DASHBOARD!$B$16), G112+ROW()/100000, "")</f>
        <v/>
      </c>
      <c r="K112" t="str">
        <f>IF(AND(F112&gt;=DASHBOARD!$B$31,OR(G112="",G112&lt;=DASHBOARD!$E$31)),F112+ROW()/100000,"")</f>
        <v/>
      </c>
    </row>
    <row r="113" spans="1:11" x14ac:dyDescent="0.35">
      <c r="A113" t="s">
        <v>315</v>
      </c>
      <c r="B113" s="1">
        <v>1768</v>
      </c>
      <c r="C113" s="1">
        <v>1799</v>
      </c>
      <c r="D113" s="1">
        <f t="shared" si="3"/>
        <v>31</v>
      </c>
      <c r="E113">
        <v>0.02</v>
      </c>
      <c r="F113">
        <f t="shared" si="4"/>
        <v>2</v>
      </c>
      <c r="H113" t="str">
        <f t="shared" si="5"/>
        <v>NO</v>
      </c>
      <c r="I113" t="s">
        <v>78</v>
      </c>
      <c r="J113" t="str">
        <f>IF(AND(I113&lt;&gt;"", I113&gt;=DASHBOARD!$B$16), G113+ROW()/100000, "")</f>
        <v/>
      </c>
      <c r="K113" t="str">
        <f>IF(AND(F113&gt;=DASHBOARD!$B$31,OR(G113="",G113&lt;=DASHBOARD!$E$31)),F113+ROW()/100000,"")</f>
        <v/>
      </c>
    </row>
    <row r="114" spans="1:11" x14ac:dyDescent="0.35">
      <c r="A114" t="s">
        <v>317</v>
      </c>
      <c r="B114" s="1">
        <v>199</v>
      </c>
      <c r="C114" s="1">
        <v>553</v>
      </c>
      <c r="D114" s="1">
        <f t="shared" si="3"/>
        <v>354</v>
      </c>
      <c r="E114">
        <v>0.64</v>
      </c>
      <c r="F114">
        <f t="shared" si="4"/>
        <v>64</v>
      </c>
      <c r="H114" t="str">
        <f t="shared" si="5"/>
        <v>NO</v>
      </c>
      <c r="I114" t="s">
        <v>78</v>
      </c>
      <c r="J114" t="str">
        <f>IF(AND(I114&lt;&gt;"", I114&gt;=DASHBOARD!$B$16), G114+ROW()/100000, "")</f>
        <v/>
      </c>
      <c r="K114">
        <f>IF(AND(F114&gt;=DASHBOARD!$B$31,OR(G114="",G114&lt;=DASHBOARD!$E$31)),F114+ROW()/100000,"")</f>
        <v>64.001140000000007</v>
      </c>
    </row>
    <row r="115" spans="1:11" x14ac:dyDescent="0.35">
      <c r="A115" t="s">
        <v>319</v>
      </c>
      <c r="B115" s="1">
        <v>450</v>
      </c>
      <c r="C115" s="1">
        <v>900</v>
      </c>
      <c r="D115" s="1">
        <f t="shared" si="3"/>
        <v>450</v>
      </c>
      <c r="E115">
        <v>0.5</v>
      </c>
      <c r="F115">
        <f t="shared" si="4"/>
        <v>50</v>
      </c>
      <c r="G115">
        <v>1</v>
      </c>
      <c r="H115" t="str">
        <f t="shared" si="5"/>
        <v>YES</v>
      </c>
      <c r="I115">
        <v>2</v>
      </c>
      <c r="J115" t="str">
        <f>IF(AND(I115&lt;&gt;"", I115&gt;=DASHBOARD!$B$16), G115+ROW()/100000, "")</f>
        <v/>
      </c>
      <c r="K115">
        <f>IF(AND(F115&gt;=DASHBOARD!$B$31,OR(G115="",G115&lt;=DASHBOARD!$E$31)),F115+ROW()/100000,"")</f>
        <v>50.001150000000003</v>
      </c>
    </row>
    <row r="116" spans="1:11" x14ac:dyDescent="0.35">
      <c r="A116" t="s">
        <v>321</v>
      </c>
      <c r="B116" s="1">
        <v>169</v>
      </c>
      <c r="C116" s="1">
        <v>320</v>
      </c>
      <c r="D116" s="1">
        <f t="shared" si="3"/>
        <v>151</v>
      </c>
      <c r="E116">
        <v>0.47</v>
      </c>
      <c r="F116">
        <f t="shared" si="4"/>
        <v>47</v>
      </c>
      <c r="H116" t="str">
        <f t="shared" si="5"/>
        <v>NO</v>
      </c>
      <c r="I116" t="s">
        <v>78</v>
      </c>
      <c r="J116" t="str">
        <f>IF(AND(I116&lt;&gt;"", I116&gt;=DASHBOARD!$B$16), G116+ROW()/100000, "")</f>
        <v/>
      </c>
      <c r="K116">
        <f>IF(AND(F116&gt;=DASHBOARD!$B$31,OR(G116="",G116&lt;=DASHBOARD!$E$31)),F116+ROW()/100000,"")</f>
        <v>47.001159999999999</v>
      </c>
    </row>
    <row r="117" spans="1:11" x14ac:dyDescent="0.35">
      <c r="A117">
        <f>SUBTOTAL(103,Table3[Product])</f>
        <v>115</v>
      </c>
      <c r="B117" s="1">
        <f>SUBTOTAL(101,Table3[Current price])</f>
        <v>1174.3565217391304</v>
      </c>
      <c r="C117" s="1">
        <f>SUBTOTAL(101,Table3[old price])</f>
        <v>1797.0695652173913</v>
      </c>
      <c r="F117">
        <f>SUBTOTAL(101,Table3[Discount %])</f>
        <v>36.956521739130437</v>
      </c>
      <c r="G117">
        <f>SUBTOTAL(109,Table3[Review])</f>
        <v>723</v>
      </c>
      <c r="I117">
        <f>SUBTOTAL(101,Table3[Ratings])</f>
        <v>3.8894736842105258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FE13-BA36-451D-B682-B9D81C878A2C}">
  <dimension ref="A10:I42"/>
  <sheetViews>
    <sheetView showGridLines="0" topLeftCell="A26" zoomScaleNormal="100" workbookViewId="0">
      <selection activeCell="B11" sqref="B11"/>
    </sheetView>
  </sheetViews>
  <sheetFormatPr defaultRowHeight="14.5" x14ac:dyDescent="0.35"/>
  <cols>
    <col min="1" max="1" width="26.81640625" customWidth="1"/>
    <col min="2" max="2" width="17.26953125" style="2" customWidth="1"/>
    <col min="3" max="3" width="23.6328125" bestFit="1" customWidth="1"/>
    <col min="4" max="4" width="15.08984375" bestFit="1" customWidth="1"/>
    <col min="5" max="5" width="7.90625" bestFit="1" customWidth="1"/>
    <col min="6" max="6" width="11.81640625" bestFit="1" customWidth="1"/>
    <col min="7" max="7" width="15.453125" bestFit="1" customWidth="1"/>
    <col min="8" max="8" width="3.90625" bestFit="1" customWidth="1"/>
    <col min="9" max="9" width="10.26953125" customWidth="1"/>
    <col min="10" max="10" width="11.26953125" customWidth="1"/>
  </cols>
  <sheetData>
    <row r="10" spans="1:6" x14ac:dyDescent="0.35">
      <c r="A10" t="s">
        <v>327</v>
      </c>
      <c r="B10" t="s">
        <v>361</v>
      </c>
      <c r="C10" t="s">
        <v>328</v>
      </c>
    </row>
    <row r="11" spans="1:6" x14ac:dyDescent="0.35">
      <c r="A11" t="s">
        <v>329</v>
      </c>
      <c r="B11">
        <f>CORREL('Cleaned Data'!F2:F116,'Cleaned Data'!G2:G116)</f>
        <v>-0.13682272428088288</v>
      </c>
      <c r="C11" t="str">
        <f>IF(B11="","n/a", IF(ABS(B11)&lt;0.1,"No meaningful relationship", IF(B11&gt;0,IF(ABS(B11)&gt;0.5,"Strong positive","Weak/Moderate positive"), IF(ABS(B11)&gt;0.5,"Strong negative","Weak/Moderate negative"))))</f>
        <v>Weak/Moderate negative</v>
      </c>
    </row>
    <row r="12" spans="1:6" x14ac:dyDescent="0.35">
      <c r="A12" t="s">
        <v>330</v>
      </c>
      <c r="B12">
        <f>CORREL('Cleaned Data'!I2:I116,'Cleaned Data'!G2:G116)</f>
        <v>5.7209035119876482E-2</v>
      </c>
      <c r="C12" t="str" cm="1">
        <f t="array" ref="C12">_xlfn.IFS(B12="", "n/a", B12&gt;0.5, "Strong positive", B12&gt;=0.1, "Weak/Moderate positive", B12&gt;-0.1, "No meaningful relationship", B12&gt;=-0.5, "Weak/Moderate negative", TRUE, "Strong negative")</f>
        <v>No meaningful relationship</v>
      </c>
    </row>
    <row r="13" spans="1:6" x14ac:dyDescent="0.35">
      <c r="A13" t="s">
        <v>331</v>
      </c>
      <c r="B13">
        <f>CORREL('Cleaned Data'!B2:B116,'Cleaned Data'!I2:I116)</f>
        <v>0.11009021272510708</v>
      </c>
      <c r="C13" t="str" cm="1">
        <f t="array" ref="C13">_xlfn.IFS(B13="", "n/a", B13&gt;0.5, "Strong positive", B13&gt;=0.1, "Weak/Moderate positive", B13&gt;-0.1, "No meaningful relationship", B13&gt;=-0.5, "Weak/Moderate negative", TRUE, "Strong negative")</f>
        <v>Weak/Moderate positive</v>
      </c>
    </row>
    <row r="14" spans="1:6" x14ac:dyDescent="0.35">
      <c r="B14"/>
    </row>
    <row r="15" spans="1:6" ht="23.5" x14ac:dyDescent="0.55000000000000004">
      <c r="A15" s="3" t="s">
        <v>333</v>
      </c>
      <c r="B15" s="4"/>
      <c r="C15" s="5"/>
      <c r="D15" s="5"/>
      <c r="E15" s="5"/>
      <c r="F15" s="5"/>
    </row>
    <row r="16" spans="1:6" ht="21" x14ac:dyDescent="0.5">
      <c r="A16" s="6" t="s">
        <v>332</v>
      </c>
      <c r="B16" s="7">
        <v>4.5</v>
      </c>
      <c r="C16" s="6"/>
      <c r="D16" s="6" t="s">
        <v>334</v>
      </c>
      <c r="E16" s="6">
        <v>10</v>
      </c>
      <c r="F16" s="6"/>
    </row>
    <row r="17" spans="1:9" x14ac:dyDescent="0.35">
      <c r="A17" t="s">
        <v>345</v>
      </c>
      <c r="B17" s="2" t="s">
        <v>335</v>
      </c>
      <c r="C17" t="s">
        <v>336</v>
      </c>
      <c r="D17" t="s">
        <v>337</v>
      </c>
      <c r="E17" t="s">
        <v>338</v>
      </c>
      <c r="F17" t="s">
        <v>346</v>
      </c>
    </row>
    <row r="18" spans="1:9" ht="58" x14ac:dyDescent="0.35">
      <c r="A18">
        <v>1</v>
      </c>
      <c r="B18" s="2" t="str">
        <f>IF(OR($E$16&lt;1,IFERROR(LARGE('Cleaned Data'!$J$2:$J$116,1),"")=""),"",INDEX('Cleaned Data'!$A$2:$A$116,MATCH(LARGE('Cleaned Data'!$J$2:$J$116,1),'Cleaned Data'!$J$2:$J$116,0)))</f>
        <v>137 Pieces Cake Decorating Tool Set Baking Supplies</v>
      </c>
      <c r="C18">
        <f>IF($B18="","",INDEX('Cleaned Data'!$I$2:$I$116,MATCH(LARGE('Cleaned Data'!$J$2:$J$116,1),'Cleaned Data'!$J$2:$J$116,0)))</f>
        <v>4.5999999999999996</v>
      </c>
      <c r="D18">
        <f>IF($B18="","",INDEX('Cleaned Data'!$G$2:$G$116,MATCH(LARGE('Cleaned Data'!$J$2:$J$116,1),'Cleaned Data'!$J$2:$J$116,0)))</f>
        <v>55</v>
      </c>
      <c r="E18">
        <f>IF($B18="","",INDEX('Cleaned Data'!$B$2:$B$116,MATCH(LARGE('Cleaned Data'!$J$2:$J$116,1),'Cleaned Data'!$J$2:$J$116,0)))</f>
        <v>2319</v>
      </c>
      <c r="F18">
        <f>IF($B18="","",INDEX('Cleaned Data'!$F$2:$F$116,MATCH(LARGE('Cleaned Data'!$J$2:$J$116,1),'Cleaned Data'!$J$2:$J$116,0)))</f>
        <v>24</v>
      </c>
    </row>
    <row r="19" spans="1:9" ht="43.5" x14ac:dyDescent="0.35">
      <c r="A19">
        <v>2</v>
      </c>
      <c r="B19" s="2" t="str">
        <f>IF(OR($E$16&lt;2,IFERROR(LARGE('Cleaned Data'!$J$2:$J$116,2),"")=""),"",INDEX('Cleaned Data'!$A$2:$A$116,MATCH(LARGE('Cleaned Data'!$J$2:$J$116,2),'Cleaned Data'!$J$2:$J$116,0)))</f>
        <v>Electronic Digital Display Vernier Caliper</v>
      </c>
      <c r="C19">
        <f>IF($B19="","",INDEX('Cleaned Data'!$I$2:$I$116,MATCH(LARGE('Cleaned Data'!$J$2:$J$116,2),'Cleaned Data'!$J$2:$J$116,0)))</f>
        <v>4.5999999999999996</v>
      </c>
      <c r="D19">
        <f>IF($B18="","",INDEX('Cleaned Data'!$G$2:$G$116,MATCH(LARGE('Cleaned Data'!$J$2:$J$116,2),'Cleaned Data'!$J$2:$J$116,0)))</f>
        <v>49</v>
      </c>
      <c r="E19">
        <f>IF($B18="","",INDEX('Cleaned Data'!$B$2:$B$116,MATCH(LARGE('Cleaned Data'!$J$2:$J$116,2),'Cleaned Data'!$J$2:$J$116,0)))</f>
        <v>420</v>
      </c>
      <c r="F19">
        <f>IF($B18="","",INDEX('Cleaned Data'!$F$2:$F$116,MATCH(LARGE('Cleaned Data'!$J$2:$J$116,2),'Cleaned Data'!$J$2:$J$116,0)))</f>
        <v>35</v>
      </c>
    </row>
    <row r="20" spans="1:9" ht="58" x14ac:dyDescent="0.35">
      <c r="A20">
        <v>3</v>
      </c>
      <c r="B20" s="2" t="str">
        <f>IF(OR($E$16&lt;3,IFERROR(LARGE('Cleaned Data'!$J$2:$J$116,3),"")=""),"",INDEX('Cleaned Data'!$A$2:$A$116,MATCH(LARGE('Cleaned Data'!$J$2:$J$116,3),'Cleaned Data'!$J$2:$J$116,0)))</f>
        <v>3D Waterproof EVA Plastic Shower Curtain 1.8*2Mtrs</v>
      </c>
      <c r="C20">
        <f>IF($B20="","",INDEX('Cleaned Data'!$I$2:$I$116,MATCH(LARGE('Cleaned Data'!$J$2:$J$116,3),'Cleaned Data'!$J$2:$J$116,0)))</f>
        <v>4.5999999999999996</v>
      </c>
      <c r="D20">
        <f>IF($B18="","",INDEX('Cleaned Data'!$G$2:$G$116,MATCH(LARGE('Cleaned Data'!$J$2:$J$116,3),'Cleaned Data'!$J$2:$J$116,0)))</f>
        <v>44</v>
      </c>
      <c r="E20">
        <f>IF($B18="","",INDEX('Cleaned Data'!$B$2:$B$116,MATCH(LARGE('Cleaned Data'!$J$2:$J$116,3),'Cleaned Data'!$J$2:$J$116,0)))</f>
        <v>998</v>
      </c>
      <c r="F20">
        <f>IF($B18="","",INDEX('Cleaned Data'!$F$2:$F$116,MATCH(LARGE('Cleaned Data'!$J$2:$J$116,3),'Cleaned Data'!$J$2:$J$116,0)))</f>
        <v>49</v>
      </c>
    </row>
    <row r="21" spans="1:9" ht="58" x14ac:dyDescent="0.35">
      <c r="A21">
        <v>4</v>
      </c>
      <c r="B21" s="2" t="str">
        <f>IF(OR($E$16&lt;4,IFERROR(LARGE('Cleaned Data'!$J$2:$J$116,4),"")=""),"",INDEX('Cleaned Data'!$A$2:$A$116,MATCH(LARGE('Cleaned Data'!$J$2:$J$116,4),'Cleaned Data'!$J$2:$J$116,0)))</f>
        <v>100 Pcs Crochet Hook Tool Set Knitting Hook Set With Box</v>
      </c>
      <c r="C21">
        <f>IF($B21="","",INDEX('Cleaned Data'!$I$2:$I$116,MATCH(LARGE('Cleaned Data'!$J$2:$J$116,4),'Cleaned Data'!$J$2:$J$116,0)))</f>
        <v>4.7</v>
      </c>
      <c r="D21">
        <f>IF($B18="","",INDEX('Cleaned Data'!$G$2:$G$116,MATCH(LARGE('Cleaned Data'!$J$2:$J$116,4),'Cleaned Data'!$J$2:$J$116,0)))</f>
        <v>39</v>
      </c>
      <c r="E21">
        <f>IF($B18="","",INDEX('Cleaned Data'!$B$2:$B$116,MATCH(LARGE('Cleaned Data'!$J$2:$J$116,4),'Cleaned Data'!$J$2:$J$116,0)))</f>
        <v>990</v>
      </c>
      <c r="F21">
        <f>IF($B18="","",INDEX('Cleaned Data'!$F$2:$F$116,MATCH(LARGE('Cleaned Data'!$J$2:$J$116,4),'Cleaned Data'!$J$2:$J$116,0)))</f>
        <v>34</v>
      </c>
    </row>
    <row r="22" spans="1:9" ht="72.5" x14ac:dyDescent="0.35">
      <c r="A22">
        <v>5</v>
      </c>
      <c r="B22" s="2" t="str">
        <f>IF(OR($E$16&lt;5,IFERROR(LARGE('Cleaned Data'!$J$2:$J$116,5),"")=""),"",INDEX('Cleaned Data'!$A$2:$A$116,MATCH(LARGE('Cleaned Data'!$J$2:$J$116,5),'Cleaned Data'!$J$2:$J$116,0)))</f>
        <v>53 Pieces/Set Yarn Knitting Crochet Hooks With Bag - Pansies</v>
      </c>
      <c r="C22">
        <f>IF($B22="","",INDEX('Cleaned Data'!$I$2:$I$116,MATCH(LARGE('Cleaned Data'!$J$2:$J$116,5),'Cleaned Data'!$J$2:$J$116,0)))</f>
        <v>4.5</v>
      </c>
      <c r="D22">
        <f>IF($B18="","",INDEX('Cleaned Data'!$G$2:$G$116,MATCH(LARGE('Cleaned Data'!$J$2:$J$116,5),'Cleaned Data'!$J$2:$J$116,0)))</f>
        <v>32</v>
      </c>
      <c r="E22">
        <f>IF($B18="","",INDEX('Cleaned Data'!$B$2:$B$116,MATCH(LARGE('Cleaned Data'!$J$2:$J$116,5),'Cleaned Data'!$J$2:$J$116,0)))</f>
        <v>1980</v>
      </c>
      <c r="F22">
        <f>IF($B18="","",INDEX('Cleaned Data'!$F$2:$F$116,MATCH(LARGE('Cleaned Data'!$J$2:$J$116,5),'Cleaned Data'!$J$2:$J$116,0)))</f>
        <v>27</v>
      </c>
    </row>
    <row r="23" spans="1:9" ht="58" x14ac:dyDescent="0.35">
      <c r="A23">
        <v>6</v>
      </c>
      <c r="B23" s="2" t="str">
        <f>IF(OR($E$16&lt;6,IFERROR(LARGE('Cleaned Data'!$J$2:$J$116,6),"")=""),"",INDEX('Cleaned Data'!$A$2:$A$116,MATCH(LARGE('Cleaned Data'!$J$2:$J$116,6),'Cleaned Data'!$J$2:$J$116,0)))</f>
        <v>Portable Mini Cordless Car Vacuum Cleaner - Blue</v>
      </c>
      <c r="C23">
        <f>IF($B23="","",INDEX('Cleaned Data'!$I$2:$I$116,MATCH(LARGE('Cleaned Data'!$J$2:$J$116,6),'Cleaned Data'!$J$2:$J$116,0)))</f>
        <v>4.5999999999999996</v>
      </c>
      <c r="D23">
        <f>IF($B18="","",INDEX('Cleaned Data'!$G$2:$G$116,MATCH(LARGE('Cleaned Data'!$J$2:$J$116,6),'Cleaned Data'!$J$2:$J$116,0)))</f>
        <v>24</v>
      </c>
      <c r="E23">
        <f>IF($B18="","",INDEX('Cleaned Data'!$B$2:$B$116,MATCH(LARGE('Cleaned Data'!$J$2:$J$116,6),'Cleaned Data'!$J$2:$J$116,0)))</f>
        <v>2199</v>
      </c>
      <c r="F23">
        <f>IF($B18="","",INDEX('Cleaned Data'!$F$2:$F$116,MATCH(LARGE('Cleaned Data'!$J$2:$J$116,6),'Cleaned Data'!$J$2:$J$116,0)))</f>
        <v>25</v>
      </c>
    </row>
    <row r="24" spans="1:9" ht="58" x14ac:dyDescent="0.35">
      <c r="A24">
        <v>7</v>
      </c>
      <c r="B24" s="2" t="str">
        <f>IF(OR($E$16&lt;7,IFERROR(LARGE('Cleaned Data'!$J$2:$J$116,7),"")=""),"",INDEX('Cleaned Data'!$A$2:$A$116,MATCH(LARGE('Cleaned Data'!$J$2:$J$116,7),'Cleaned Data'!$J$2:$J$116,0)))</f>
        <v>53Pcs/Set Yarn Knitting Crochet Hooks With Bag - Fortune Cat</v>
      </c>
      <c r="C24">
        <f>IF($B24="","",INDEX('Cleaned Data'!$I$2:$I$116,MATCH(LARGE('Cleaned Data'!$J$2:$J$116,7),'Cleaned Data'!$J$2:$J$116,0)))</f>
        <v>4.7</v>
      </c>
      <c r="D24">
        <f>IF($B18="","",INDEX('Cleaned Data'!$G$2:$G$116,MATCH(LARGE('Cleaned Data'!$J$2:$J$116,7),'Cleaned Data'!$J$2:$J$116,0)))</f>
        <v>20</v>
      </c>
      <c r="E24">
        <f>IF($B18="","",INDEX('Cleaned Data'!$B$2:$B$116,MATCH(LARGE('Cleaned Data'!$J$2:$J$116,7),'Cleaned Data'!$J$2:$J$116,0)))</f>
        <v>1940</v>
      </c>
      <c r="F24">
        <f>IF($B18="","",INDEX('Cleaned Data'!$F$2:$F$116,MATCH(LARGE('Cleaned Data'!$J$2:$J$116,7),'Cleaned Data'!$J$2:$J$116,0)))</f>
        <v>27</v>
      </c>
    </row>
    <row r="25" spans="1:9" ht="43.5" x14ac:dyDescent="0.35">
      <c r="A25">
        <v>8</v>
      </c>
      <c r="B25" s="2" t="str">
        <f>IF(OR($E$16&lt;8,IFERROR(LARGE('Cleaned Data'!$J$2:$J$116,8),"")=""),"",INDEX('Cleaned Data'!$A$2:$A$116,MATCH(LARGE('Cleaned Data'!$J$2:$J$116,8),'Cleaned Data'!$J$2:$J$116,0)))</f>
        <v>12 Litre Insulated Lunch Box Grey</v>
      </c>
      <c r="C25">
        <f>IF($B25="","",INDEX('Cleaned Data'!$I$2:$I$116,MATCH(LARGE('Cleaned Data'!$J$2:$J$116,8),'Cleaned Data'!$J$2:$J$116,0)))</f>
        <v>4.7</v>
      </c>
      <c r="D25">
        <f>IF($B18="","",INDEX('Cleaned Data'!$G$2:$G$116,MATCH(LARGE('Cleaned Data'!$J$2:$J$116,8),'Cleaned Data'!$J$2:$J$116,0)))</f>
        <v>12</v>
      </c>
      <c r="E25">
        <f>IF($B18="","",INDEX('Cleaned Data'!$B$2:$B$116,MATCH(LARGE('Cleaned Data'!$J$2:$J$116,8),'Cleaned Data'!$J$2:$J$116,0)))</f>
        <v>980</v>
      </c>
      <c r="F25">
        <f>IF($B18="","",INDEX('Cleaned Data'!$F$2:$F$116,MATCH(LARGE('Cleaned Data'!$J$2:$J$116,8),'Cleaned Data'!$J$2:$J$116,0)))</f>
        <v>34</v>
      </c>
    </row>
    <row r="26" spans="1:9" ht="43.5" x14ac:dyDescent="0.35">
      <c r="A26">
        <v>9</v>
      </c>
      <c r="B26" s="2" t="str">
        <f>IF(OR($E$16&lt;9,IFERROR(LARGE('Cleaned Data'!$J$2:$J$116,9),"")=""),"",INDEX('Cleaned Data'!$A$2:$A$116,MATCH(LARGE('Cleaned Data'!$J$2:$J$116,9),'Cleaned Data'!$J$2:$J$116,0)))</f>
        <v>40cm Gold DIY Acrylic Wall Sticker Clock</v>
      </c>
      <c r="C26">
        <f>IF($B26="","",INDEX('Cleaned Data'!$I$2:$I$116,MATCH(LARGE('Cleaned Data'!$J$2:$J$116,9),'Cleaned Data'!$J$2:$J$116,0)))</f>
        <v>4.8</v>
      </c>
      <c r="D26">
        <f>IF($B18="","",INDEX('Cleaned Data'!$G$2:$G$116,MATCH(LARGE('Cleaned Data'!$J$2:$J$116,9),'Cleaned Data'!$J$2:$J$116,0)))</f>
        <v>12</v>
      </c>
      <c r="E26">
        <f>IF($B18="","",INDEX('Cleaned Data'!$B$2:$B$116,MATCH(LARGE('Cleaned Data'!$J$2:$J$116,9),'Cleaned Data'!$J$2:$J$116,0)))</f>
        <v>552</v>
      </c>
      <c r="F26">
        <f>IF($B18="","",INDEX('Cleaned Data'!$F$2:$F$116,MATCH(LARGE('Cleaned Data'!$J$2:$J$116,9),'Cleaned Data'!$J$2:$J$116,0)))</f>
        <v>47</v>
      </c>
    </row>
    <row r="27" spans="1:9" ht="58" x14ac:dyDescent="0.35">
      <c r="A27">
        <v>10</v>
      </c>
      <c r="B27" s="2" t="str">
        <f>IF(OR($E$16&lt;10,IFERROR(LARGE('Cleaned Data'!$J$2:$J$116,10),"")=""),"",INDEX('Cleaned Data'!$A$2:$A$116,MATCH(LARGE('Cleaned Data'!$J$2:$J$116,10),'Cleaned Data'!$J$2:$J$116,0)))</f>
        <v>Weighing Scale Digital Bathroom Body Fat Scale USB-Black</v>
      </c>
      <c r="C27">
        <f>IF($B27="","",INDEX('Cleaned Data'!$I$2:$I$116,MATCH(LARGE('Cleaned Data'!$J$2:$J$116,10),'Cleaned Data'!$J$2:$J$116,0)))</f>
        <v>4.7</v>
      </c>
      <c r="D27">
        <f>IF($B18="","",INDEX('Cleaned Data'!$G$2:$G$116,MATCH(LARGE('Cleaned Data'!$J$2:$J$116,10),'Cleaned Data'!$J$2:$J$116,0)))</f>
        <v>7</v>
      </c>
      <c r="E27">
        <f>IF($B18="","",INDEX('Cleaned Data'!$B$2:$B$116,MATCH(LARGE('Cleaned Data'!$J$2:$J$116,10),'Cleaned Data'!$J$2:$J$116,0)))</f>
        <v>1580</v>
      </c>
      <c r="F27">
        <f>IF($B18="","",INDEX('Cleaned Data'!$F$2:$F$116,MATCH(LARGE('Cleaned Data'!$J$2:$J$116,10),'Cleaned Data'!$J$2:$J$116,0)))</f>
        <v>37</v>
      </c>
    </row>
    <row r="30" spans="1:9" s="6" customFormat="1" ht="21" x14ac:dyDescent="0.5">
      <c r="A30" s="6" t="s">
        <v>340</v>
      </c>
      <c r="B30" s="7"/>
    </row>
    <row r="31" spans="1:9" ht="21" x14ac:dyDescent="0.5">
      <c r="A31" s="8" t="s">
        <v>341</v>
      </c>
      <c r="B31" s="7">
        <v>40</v>
      </c>
      <c r="C31" s="6"/>
      <c r="D31" s="6" t="s">
        <v>342</v>
      </c>
      <c r="E31" s="6">
        <v>3</v>
      </c>
      <c r="F31" s="6"/>
      <c r="G31" s="6" t="s">
        <v>344</v>
      </c>
      <c r="H31" s="6">
        <v>10</v>
      </c>
      <c r="I31" s="6"/>
    </row>
    <row r="32" spans="1:9" x14ac:dyDescent="0.35">
      <c r="A32" t="s">
        <v>345</v>
      </c>
      <c r="B32" s="2" t="s">
        <v>343</v>
      </c>
      <c r="C32" t="s">
        <v>339</v>
      </c>
      <c r="D32" t="s">
        <v>337</v>
      </c>
    </row>
    <row r="33" spans="1:4" ht="58" x14ac:dyDescent="0.35">
      <c r="A33">
        <v>1</v>
      </c>
      <c r="B33" s="2" t="str">
        <f>IF(OR($H$31&lt;1,IFERROR(LARGE('Cleaned Data'!$K$2:$K$116,1),"")=""),"",INDEX('Cleaned Data'!$A$2:$A$116,MATCH(LARGE('Cleaned Data'!$K$2:$K$116,1),'Cleaned Data'!$K$2:$K$116,0)))</f>
        <v>6 In 1 Bottle Can Opener Multifunctional Easy Opener</v>
      </c>
      <c r="C33">
        <f>IF(32="","",INDEX('Cleaned Data'!$F$2:$F$116,MATCH(LARGE('Cleaned Data'!$K$2:$K$116,1),'Cleaned Data'!$K$2:$K$116,0)))</f>
        <v>64</v>
      </c>
      <c r="D33">
        <f>IF(E31="","",INDEX('Cleaned Data'!$G$2:$G$116,MATCH(LARGE('Cleaned Data'!$K$2:$K$116,1),'Cleaned Data'!$K$2:$K$116,0)))</f>
        <v>0</v>
      </c>
    </row>
    <row r="34" spans="1:4" ht="43.5" x14ac:dyDescent="0.35">
      <c r="A34">
        <v>2</v>
      </c>
      <c r="B34" s="2" t="str">
        <f>IF(OR($H$31&lt;2,IFERROR(LARGE('Cleaned Data'!$K$2:$K$116,2),"")=""),"",INDEX('Cleaned Data'!$A$2:$A$116,MATCH(LARGE('Cleaned Data'!$K$2:$K$116,2),'Cleaned Data'!$K$2:$K$116,0)))</f>
        <v>Creative Owl Shape Keychain Black</v>
      </c>
      <c r="C34">
        <f>IF(32="","",INDEX('Cleaned Data'!$F$2:$F$116,MATCH(LARGE('Cleaned Data'!$K$2:$K$116,2),'Cleaned Data'!$K$2:$K$116,0)))</f>
        <v>61</v>
      </c>
      <c r="D34">
        <f>IF(E31="","",INDEX('Cleaned Data'!$G$2:$G$116,MATCH(LARGE('Cleaned Data'!$K$2:$K$116,2),'Cleaned Data'!$K$2:$K$116,0)))</f>
        <v>0</v>
      </c>
    </row>
    <row r="35" spans="1:4" ht="72.5" x14ac:dyDescent="0.35">
      <c r="A35">
        <v>3</v>
      </c>
      <c r="B35" s="2" t="str">
        <f>IF(OR($H$31&lt;3,IFERROR(LARGE('Cleaned Data'!$K$2:$K$116,3),"")=""),"",INDEX('Cleaned Data'!$A$2:$A$116,MATCH(LARGE('Cleaned Data'!$K$2:$K$116,3),'Cleaned Data'!$K$2:$K$116,0)))</f>
        <v>Simple Metal Dog Art Sculpture Decoration For Home Office</v>
      </c>
      <c r="C35">
        <f>IF(32="","",INDEX('Cleaned Data'!$F$2:$F$116,MATCH(LARGE('Cleaned Data'!$K$2:$K$116,3),'Cleaned Data'!$K$2:$K$116,0)))</f>
        <v>55.000000000000007</v>
      </c>
      <c r="D35">
        <f>IF(E31="","",INDEX('Cleaned Data'!$G$2:$G$116,MATCH(LARGE('Cleaned Data'!$K$2:$K$116,3),'Cleaned Data'!$K$2:$K$116,0)))</f>
        <v>0</v>
      </c>
    </row>
    <row r="36" spans="1:4" ht="58" x14ac:dyDescent="0.35">
      <c r="A36">
        <v>4</v>
      </c>
      <c r="B36" s="2" t="str">
        <f>IF(OR($H$31&lt;4,IFERROR(LARGE('Cleaned Data'!$K$2:$K$116,4),"")=""),"",INDEX('Cleaned Data'!$A$2:$A$116,MATCH(LARGE('Cleaned Data'!$K$2:$K$116,4),'Cleaned Data'!$K$2:$K$116,0)))</f>
        <v>Classic Black Cat Cotton Hemp Pillow Case For Home Car</v>
      </c>
      <c r="C36">
        <f>IF(32="","",INDEX('Cleaned Data'!$F$2:$F$116,MATCH(LARGE('Cleaned Data'!$K$2:$K$116,4),'Cleaned Data'!$K$2:$K$116,0)))</f>
        <v>53</v>
      </c>
      <c r="D36">
        <f>IF(E31="","",INDEX('Cleaned Data'!$G$2:$G$116,MATCH(LARGE('Cleaned Data'!$K$2:$K$116,4),'Cleaned Data'!$K$2:$K$116,0)))</f>
        <v>2</v>
      </c>
    </row>
    <row r="37" spans="1:4" ht="72.5" x14ac:dyDescent="0.35">
      <c r="A37">
        <v>5</v>
      </c>
      <c r="B37" s="2" t="str">
        <f>IF(OR($H$31&lt;5,IFERROR(LARGE('Cleaned Data'!$K$2:$K$116,5),"")=""),"",INDEX('Cleaned Data'!$A$2:$A$116,MATCH(LARGE('Cleaned Data'!$K$2:$K$116,5),'Cleaned Data'!$K$2:$K$116,0)))</f>
        <v>Anti-Skid Absorbent Insulation Coaster  For Home Office</v>
      </c>
      <c r="C37">
        <f>IF(32="","",INDEX('Cleaned Data'!$F$2:$F$116,MATCH(LARGE('Cleaned Data'!$K$2:$K$116,5),'Cleaned Data'!$K$2:$K$116,0)))</f>
        <v>51</v>
      </c>
      <c r="D37">
        <f>IF(E31="","",INDEX('Cleaned Data'!$G$2:$G$116,MATCH(LARGE('Cleaned Data'!$K$2:$K$116,5),'Cleaned Data'!$K$2:$K$116,0)))</f>
        <v>2</v>
      </c>
    </row>
    <row r="38" spans="1:4" ht="43.5" x14ac:dyDescent="0.35">
      <c r="A38">
        <v>6</v>
      </c>
      <c r="B38" s="2" t="str">
        <f>IF(OR($H$31&lt;6,IFERROR(LARGE('Cleaned Data'!$K$2:$K$116,6),"")=""),"",INDEX('Cleaned Data'!$A$2:$A$116,MATCH(LARGE('Cleaned Data'!$K$2:$K$116,6),'Cleaned Data'!$K$2:$K$116,0)))</f>
        <v>Wall-mounted Sticker Punch-free Plug Fixer</v>
      </c>
      <c r="C38">
        <f>IF(32="","",INDEX('Cleaned Data'!$F$2:$F$116,MATCH(LARGE('Cleaned Data'!$K$2:$K$116,6),'Cleaned Data'!$K$2:$K$116,0)))</f>
        <v>50</v>
      </c>
      <c r="D38">
        <f>IF(E31="","",INDEX('Cleaned Data'!$G$2:$G$116,MATCH(LARGE('Cleaned Data'!$K$2:$K$116,6),'Cleaned Data'!$K$2:$K$116,0)))</f>
        <v>1</v>
      </c>
    </row>
    <row r="39" spans="1:4" ht="72.5" x14ac:dyDescent="0.35">
      <c r="A39">
        <v>7</v>
      </c>
      <c r="B39" s="2" t="str">
        <f>IF(OR($H$31&lt;7,IFERROR(LARGE('Cleaned Data'!$K$2:$K$116,7),"")=""),"",INDEX('Cleaned Data'!$A$2:$A$116,MATCH(LARGE('Cleaned Data'!$K$2:$K$116,7),'Cleaned Data'!$K$2:$K$116,0)))</f>
        <v>2PCS Ice Silk Square Cushion Cover Pillowcases - 65x65cm</v>
      </c>
      <c r="C39">
        <f>IF(32="","",INDEX('Cleaned Data'!$F$2:$F$116,MATCH(LARGE('Cleaned Data'!$K$2:$K$116,7),'Cleaned Data'!$K$2:$K$116,0)))</f>
        <v>50</v>
      </c>
      <c r="D39">
        <f>IF(E31="","",INDEX('Cleaned Data'!$G$2:$G$116,MATCH(LARGE('Cleaned Data'!$K$2:$K$116,7),'Cleaned Data'!$K$2:$K$116,0)))</f>
        <v>0</v>
      </c>
    </row>
    <row r="40" spans="1:4" ht="29" x14ac:dyDescent="0.35">
      <c r="A40">
        <v>8</v>
      </c>
      <c r="B40" s="2" t="str">
        <f>IF(OR($H$31&lt;8,IFERROR(LARGE('Cleaned Data'!$K$2:$K$116,8),"")=""),"",INDEX('Cleaned Data'!$A$2:$A$116,MATCH(LARGE('Cleaned Data'!$K$2:$K$116,8),'Cleaned Data'!$K$2:$K$116,0)))</f>
        <v>Wall Clock With Hidden Safe Box</v>
      </c>
      <c r="C40">
        <f>IF(32="","",INDEX('Cleaned Data'!$F$2:$F$116,MATCH(LARGE('Cleaned Data'!$K$2:$K$116,8),'Cleaned Data'!$K$2:$K$116,0)))</f>
        <v>50</v>
      </c>
      <c r="D40">
        <f>IF(E31="","",INDEX('Cleaned Data'!$G$2:$G$116,MATCH(LARGE('Cleaned Data'!$K$2:$K$116,8),'Cleaned Data'!$K$2:$K$116,0)))</f>
        <v>0</v>
      </c>
    </row>
    <row r="41" spans="1:4" ht="58" x14ac:dyDescent="0.35">
      <c r="A41">
        <v>9</v>
      </c>
      <c r="B41" s="2" t="str">
        <f>IF(OR($H$31&lt;9,IFERROR(LARGE('Cleaned Data'!$K$2:$K$116,9),"")=""),"",INDEX('Cleaned Data'!$A$2:$A$116,MATCH(LARGE('Cleaned Data'!$K$2:$K$116,9),'Cleaned Data'!$K$2:$K$116,0)))</f>
        <v>Brush &amp; Paintbrush Cleaning Tool Pink</v>
      </c>
      <c r="C41">
        <f>IF(32="","",INDEX('Cleaned Data'!$F$2:$F$116,MATCH(LARGE('Cleaned Data'!$K$2:$K$116,9),'Cleaned Data'!$K$2:$K$116,0)))</f>
        <v>50</v>
      </c>
      <c r="D41">
        <f>IF(E31="","",INDEX('Cleaned Data'!$G$2:$G$116,MATCH(LARGE('Cleaned Data'!$K$2:$K$116,9),'Cleaned Data'!$K$2:$K$116,0)))</f>
        <v>0</v>
      </c>
    </row>
    <row r="42" spans="1:4" ht="72.5" x14ac:dyDescent="0.35">
      <c r="A42">
        <v>10</v>
      </c>
      <c r="B42" s="2" t="str">
        <f>IF(OR($H$31&lt;10,IFERROR(LARGE('Cleaned Data'!$K$2:$K$116,10),"")=""),"",INDEX('Cleaned Data'!$A$2:$A$116,MATCH(LARGE('Cleaned Data'!$K$2:$K$116,10),'Cleaned Data'!$K$2:$K$116,0)))</f>
        <v>Christmas Elk Fence Yard Lawn Decorations Cute For Holidays</v>
      </c>
      <c r="C42">
        <f>IF(32="","",INDEX('Cleaned Data'!$F$2:$F$116,MATCH(LARGE('Cleaned Data'!$K$2:$K$116,10),'Cleaned Data'!$K$2:$K$116,0)))</f>
        <v>50</v>
      </c>
      <c r="D42">
        <f>IF(E31="","",INDEX('Cleaned Data'!$G$2:$G$116,MATCH(LARGE('Cleaned Data'!$K$2:$K$116,10),'Cleaned Data'!$K$2:$K$116,0)))</f>
        <v>0</v>
      </c>
    </row>
  </sheetData>
  <phoneticPr fontId="2" type="noConversion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41F6-35E9-42C3-B06C-8F366DBC1CE8}">
  <dimension ref="A1:B24"/>
  <sheetViews>
    <sheetView showGridLines="0" tabSelected="1" workbookViewId="0">
      <selection activeCell="B12" sqref="B12"/>
    </sheetView>
  </sheetViews>
  <sheetFormatPr defaultRowHeight="14.5" x14ac:dyDescent="0.35"/>
  <sheetData>
    <row r="1" spans="1:2" x14ac:dyDescent="0.35">
      <c r="A1" t="s">
        <v>350</v>
      </c>
    </row>
    <row r="4" spans="1:2" x14ac:dyDescent="0.35">
      <c r="B4" t="s">
        <v>351</v>
      </c>
    </row>
    <row r="5" spans="1:2" x14ac:dyDescent="0.35">
      <c r="B5" t="s">
        <v>365</v>
      </c>
    </row>
    <row r="6" spans="1:2" x14ac:dyDescent="0.35">
      <c r="B6" t="s">
        <v>366</v>
      </c>
    </row>
    <row r="7" spans="1:2" x14ac:dyDescent="0.35">
      <c r="B7" t="s">
        <v>357</v>
      </c>
    </row>
    <row r="8" spans="1:2" x14ac:dyDescent="0.35">
      <c r="B8" t="s">
        <v>358</v>
      </c>
    </row>
    <row r="11" spans="1:2" x14ac:dyDescent="0.35">
      <c r="B11" t="s">
        <v>352</v>
      </c>
    </row>
    <row r="12" spans="1:2" x14ac:dyDescent="0.35">
      <c r="B12" t="s">
        <v>362</v>
      </c>
    </row>
    <row r="14" spans="1:2" x14ac:dyDescent="0.35">
      <c r="B14" t="s">
        <v>353</v>
      </c>
    </row>
    <row r="15" spans="1:2" x14ac:dyDescent="0.35">
      <c r="B15" t="s">
        <v>363</v>
      </c>
    </row>
    <row r="17" spans="2:2" x14ac:dyDescent="0.35">
      <c r="B17" t="s">
        <v>354</v>
      </c>
    </row>
    <row r="18" spans="2:2" x14ac:dyDescent="0.35">
      <c r="B18" t="s">
        <v>364</v>
      </c>
    </row>
    <row r="20" spans="2:2" x14ac:dyDescent="0.35">
      <c r="B20" t="s">
        <v>355</v>
      </c>
    </row>
    <row r="21" spans="2:2" x14ac:dyDescent="0.35">
      <c r="B21" t="s">
        <v>359</v>
      </c>
    </row>
    <row r="23" spans="2:2" x14ac:dyDescent="0.35">
      <c r="B23" t="s">
        <v>356</v>
      </c>
    </row>
    <row r="24" spans="2:2" x14ac:dyDescent="0.35">
      <c r="B24" t="s">
        <v>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AE1133-2CB8-4135-8BC8-8D619CB009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Cleaned Data</vt:lpstr>
      <vt:lpstr>DASHBOARD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Gikonyo</dc:creator>
  <cp:lastModifiedBy>Tori Gikonyo</cp:lastModifiedBy>
  <dcterms:created xsi:type="dcterms:W3CDTF">2026-09-14T08:08:37Z</dcterms:created>
  <dcterms:modified xsi:type="dcterms:W3CDTF">2026-09-16T13:34:47Z</dcterms:modified>
</cp:coreProperties>
</file>